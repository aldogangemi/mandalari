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ogangemi/Dropbox/Koi/Docs_Work/Articoli/Mandalari/newbatchanalysis/data4clustering/AdvancedClusteringCode_Report_Graphics/advcompclust_withthematicclusters_authors/"/>
    </mc:Choice>
  </mc:AlternateContent>
  <xr:revisionPtr revIDLastSave="0" documentId="13_ncr:1_{0C1B6F34-F050-2743-9536-474FD4A9CD0C}" xr6:coauthVersionLast="47" xr6:coauthVersionMax="47" xr10:uidLastSave="{00000000-0000-0000-0000-000000000000}"/>
  <bookViews>
    <workbookView xWindow="1240" yWindow="2420" windowWidth="27240" windowHeight="16240" activeTab="3" xr2:uid="{29E849D2-79DE-0A4B-A0C7-D28246DAB841}"/>
  </bookViews>
  <sheets>
    <sheet name="alldatabyauthor" sheetId="1" r:id="rId1"/>
    <sheet name="clusterdistbyauthor" sheetId="2" r:id="rId2"/>
    <sheet name="framedistbycluster" sheetId="3" r:id="rId3"/>
    <sheet name="framedistbycluster (2)" sheetId="4" r:id="rId4"/>
  </sheets>
  <definedNames>
    <definedName name="author_profiles" localSheetId="0">alldatabyauthor!$A$1:$YF$103</definedName>
    <definedName name="author_summary_with_doc_clusters" localSheetId="1">clusterdistbyauthor!$A$1:$M$103</definedName>
    <definedName name="cluster_thematic_profiles_ALL_FRAMES" localSheetId="2">framedistbycluster!$A$1:$K$300</definedName>
    <definedName name="cluster_thematic_profiles_ALL_FRAMES" localSheetId="3">'framedistbycluster (2)'!$A$1:$K$269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3" i="4" l="1" a="1"/>
  <c r="K273" i="4" s="1"/>
  <c r="J273" i="4" a="1"/>
  <c r="J273" i="4" s="1"/>
  <c r="I273" i="4" a="1"/>
  <c r="I273" i="4" s="1"/>
  <c r="H273" i="4" a="1"/>
  <c r="H273" i="4" s="1"/>
  <c r="G273" i="4" a="1"/>
  <c r="G273" i="4" s="1"/>
  <c r="F273" i="4" a="1"/>
  <c r="F273" i="4" s="1"/>
  <c r="E273" i="4" a="1"/>
  <c r="E273" i="4" s="1"/>
  <c r="D273" i="4" a="1"/>
  <c r="D273" i="4" s="1"/>
  <c r="C273" i="4" a="1"/>
  <c r="C273" i="4" s="1"/>
  <c r="B273" i="4" a="1"/>
  <c r="B273" i="4" s="1"/>
  <c r="K272" i="4"/>
  <c r="J272" i="4"/>
  <c r="I272" i="4"/>
  <c r="H272" i="4"/>
  <c r="G272" i="4"/>
  <c r="F272" i="4"/>
  <c r="E272" i="4"/>
  <c r="D272" i="4"/>
  <c r="C272" i="4"/>
  <c r="B272" i="4"/>
  <c r="K271" i="4"/>
  <c r="J271" i="4"/>
  <c r="I271" i="4"/>
  <c r="H271" i="4"/>
  <c r="G271" i="4"/>
  <c r="F271" i="4"/>
  <c r="E271" i="4"/>
  <c r="D271" i="4"/>
  <c r="C271" i="4"/>
  <c r="B271" i="4"/>
  <c r="K270" i="4"/>
  <c r="J270" i="4"/>
  <c r="I270" i="4"/>
  <c r="H270" i="4"/>
  <c r="G270" i="4"/>
  <c r="F270" i="4"/>
  <c r="E270" i="4"/>
  <c r="D270" i="4"/>
  <c r="C270" i="4"/>
  <c r="B270" i="4"/>
  <c r="U269" i="4"/>
  <c r="T269" i="4"/>
  <c r="S269" i="4"/>
  <c r="R269" i="4"/>
  <c r="Q269" i="4"/>
  <c r="P269" i="4"/>
  <c r="O269" i="4"/>
  <c r="N269" i="4"/>
  <c r="M269" i="4"/>
  <c r="L269" i="4"/>
  <c r="U268" i="4"/>
  <c r="T268" i="4"/>
  <c r="S268" i="4"/>
  <c r="R268" i="4"/>
  <c r="Q268" i="4"/>
  <c r="P268" i="4"/>
  <c r="O268" i="4"/>
  <c r="N268" i="4"/>
  <c r="M268" i="4"/>
  <c r="L268" i="4"/>
  <c r="U267" i="4"/>
  <c r="T267" i="4"/>
  <c r="S267" i="4"/>
  <c r="R267" i="4"/>
  <c r="Q267" i="4"/>
  <c r="P267" i="4"/>
  <c r="O267" i="4"/>
  <c r="N267" i="4"/>
  <c r="M267" i="4"/>
  <c r="L267" i="4"/>
  <c r="U266" i="4"/>
  <c r="T266" i="4"/>
  <c r="S266" i="4"/>
  <c r="R266" i="4"/>
  <c r="Q266" i="4"/>
  <c r="P266" i="4"/>
  <c r="O266" i="4"/>
  <c r="N266" i="4"/>
  <c r="M266" i="4"/>
  <c r="L266" i="4"/>
  <c r="U265" i="4"/>
  <c r="T265" i="4"/>
  <c r="S265" i="4"/>
  <c r="R265" i="4"/>
  <c r="Q265" i="4"/>
  <c r="P265" i="4"/>
  <c r="O265" i="4"/>
  <c r="N265" i="4"/>
  <c r="M265" i="4"/>
  <c r="L265" i="4"/>
  <c r="U264" i="4"/>
  <c r="T264" i="4"/>
  <c r="S264" i="4"/>
  <c r="R264" i="4"/>
  <c r="Q264" i="4"/>
  <c r="P264" i="4"/>
  <c r="O264" i="4"/>
  <c r="N264" i="4"/>
  <c r="M264" i="4"/>
  <c r="L264" i="4"/>
  <c r="U263" i="4"/>
  <c r="T263" i="4"/>
  <c r="S263" i="4"/>
  <c r="R263" i="4"/>
  <c r="Q263" i="4"/>
  <c r="P263" i="4"/>
  <c r="O263" i="4"/>
  <c r="N263" i="4"/>
  <c r="M263" i="4"/>
  <c r="L263" i="4"/>
  <c r="U262" i="4"/>
  <c r="T262" i="4"/>
  <c r="S262" i="4"/>
  <c r="R262" i="4"/>
  <c r="Q262" i="4"/>
  <c r="P262" i="4"/>
  <c r="O262" i="4"/>
  <c r="N262" i="4"/>
  <c r="M262" i="4"/>
  <c r="L262" i="4"/>
  <c r="U261" i="4"/>
  <c r="T261" i="4"/>
  <c r="S261" i="4"/>
  <c r="R261" i="4"/>
  <c r="Q261" i="4"/>
  <c r="P261" i="4"/>
  <c r="O261" i="4"/>
  <c r="N261" i="4"/>
  <c r="M261" i="4"/>
  <c r="L261" i="4"/>
  <c r="U260" i="4"/>
  <c r="T260" i="4"/>
  <c r="S260" i="4"/>
  <c r="R260" i="4"/>
  <c r="Q260" i="4"/>
  <c r="P260" i="4"/>
  <c r="O260" i="4"/>
  <c r="N260" i="4"/>
  <c r="M260" i="4"/>
  <c r="L260" i="4"/>
  <c r="U259" i="4"/>
  <c r="T259" i="4"/>
  <c r="S259" i="4"/>
  <c r="R259" i="4"/>
  <c r="Q259" i="4"/>
  <c r="P259" i="4"/>
  <c r="O259" i="4"/>
  <c r="N259" i="4"/>
  <c r="M259" i="4"/>
  <c r="L259" i="4"/>
  <c r="U258" i="4"/>
  <c r="T258" i="4"/>
  <c r="S258" i="4"/>
  <c r="R258" i="4"/>
  <c r="Q258" i="4"/>
  <c r="P258" i="4"/>
  <c r="O258" i="4"/>
  <c r="N258" i="4"/>
  <c r="M258" i="4"/>
  <c r="L258" i="4"/>
  <c r="U257" i="4"/>
  <c r="T257" i="4"/>
  <c r="S257" i="4"/>
  <c r="R257" i="4"/>
  <c r="Q257" i="4"/>
  <c r="P257" i="4"/>
  <c r="O257" i="4"/>
  <c r="N257" i="4"/>
  <c r="M257" i="4"/>
  <c r="L257" i="4"/>
  <c r="U256" i="4"/>
  <c r="T256" i="4"/>
  <c r="S256" i="4"/>
  <c r="R256" i="4"/>
  <c r="Q256" i="4"/>
  <c r="P256" i="4"/>
  <c r="O256" i="4"/>
  <c r="N256" i="4"/>
  <c r="M256" i="4"/>
  <c r="L256" i="4"/>
  <c r="U255" i="4"/>
  <c r="T255" i="4"/>
  <c r="S255" i="4"/>
  <c r="R255" i="4"/>
  <c r="Q255" i="4"/>
  <c r="P255" i="4"/>
  <c r="O255" i="4"/>
  <c r="N255" i="4"/>
  <c r="M255" i="4"/>
  <c r="L255" i="4"/>
  <c r="U254" i="4"/>
  <c r="T254" i="4"/>
  <c r="S254" i="4"/>
  <c r="R254" i="4"/>
  <c r="Q254" i="4"/>
  <c r="P254" i="4"/>
  <c r="O254" i="4"/>
  <c r="N254" i="4"/>
  <c r="M254" i="4"/>
  <c r="L254" i="4"/>
  <c r="U253" i="4"/>
  <c r="T253" i="4"/>
  <c r="S253" i="4"/>
  <c r="R253" i="4"/>
  <c r="Q253" i="4"/>
  <c r="P253" i="4"/>
  <c r="O253" i="4"/>
  <c r="N253" i="4"/>
  <c r="M253" i="4"/>
  <c r="L253" i="4"/>
  <c r="U252" i="4"/>
  <c r="T252" i="4"/>
  <c r="S252" i="4"/>
  <c r="R252" i="4"/>
  <c r="Q252" i="4"/>
  <c r="P252" i="4"/>
  <c r="O252" i="4"/>
  <c r="N252" i="4"/>
  <c r="M252" i="4"/>
  <c r="L252" i="4"/>
  <c r="U251" i="4"/>
  <c r="T251" i="4"/>
  <c r="S251" i="4"/>
  <c r="R251" i="4"/>
  <c r="Q251" i="4"/>
  <c r="P251" i="4"/>
  <c r="O251" i="4"/>
  <c r="N251" i="4"/>
  <c r="M251" i="4"/>
  <c r="L251" i="4"/>
  <c r="U250" i="4"/>
  <c r="T250" i="4"/>
  <c r="S250" i="4"/>
  <c r="R250" i="4"/>
  <c r="Q250" i="4"/>
  <c r="P250" i="4"/>
  <c r="O250" i="4"/>
  <c r="N250" i="4"/>
  <c r="M250" i="4"/>
  <c r="L250" i="4"/>
  <c r="U249" i="4"/>
  <c r="T249" i="4"/>
  <c r="S249" i="4"/>
  <c r="R249" i="4"/>
  <c r="Q249" i="4"/>
  <c r="P249" i="4"/>
  <c r="O249" i="4"/>
  <c r="N249" i="4"/>
  <c r="M249" i="4"/>
  <c r="L249" i="4"/>
  <c r="U248" i="4"/>
  <c r="T248" i="4"/>
  <c r="S248" i="4"/>
  <c r="R248" i="4"/>
  <c r="Q248" i="4"/>
  <c r="P248" i="4"/>
  <c r="O248" i="4"/>
  <c r="N248" i="4"/>
  <c r="M248" i="4"/>
  <c r="L248" i="4"/>
  <c r="U247" i="4"/>
  <c r="T247" i="4"/>
  <c r="S247" i="4"/>
  <c r="R247" i="4"/>
  <c r="Q247" i="4"/>
  <c r="P247" i="4"/>
  <c r="O247" i="4"/>
  <c r="N247" i="4"/>
  <c r="M247" i="4"/>
  <c r="L247" i="4"/>
  <c r="U246" i="4"/>
  <c r="T246" i="4"/>
  <c r="S246" i="4"/>
  <c r="R246" i="4"/>
  <c r="Q246" i="4"/>
  <c r="P246" i="4"/>
  <c r="O246" i="4"/>
  <c r="N246" i="4"/>
  <c r="M246" i="4"/>
  <c r="L246" i="4"/>
  <c r="U245" i="4"/>
  <c r="T245" i="4"/>
  <c r="S245" i="4"/>
  <c r="R245" i="4"/>
  <c r="Q245" i="4"/>
  <c r="P245" i="4"/>
  <c r="O245" i="4"/>
  <c r="N245" i="4"/>
  <c r="M245" i="4"/>
  <c r="L245" i="4"/>
  <c r="U244" i="4"/>
  <c r="T244" i="4"/>
  <c r="S244" i="4"/>
  <c r="R244" i="4"/>
  <c r="Q244" i="4"/>
  <c r="P244" i="4"/>
  <c r="O244" i="4"/>
  <c r="N244" i="4"/>
  <c r="M244" i="4"/>
  <c r="L244" i="4"/>
  <c r="U243" i="4"/>
  <c r="T243" i="4"/>
  <c r="S243" i="4"/>
  <c r="R243" i="4"/>
  <c r="Q243" i="4"/>
  <c r="P243" i="4"/>
  <c r="O243" i="4"/>
  <c r="N243" i="4"/>
  <c r="M243" i="4"/>
  <c r="L243" i="4"/>
  <c r="U242" i="4"/>
  <c r="T242" i="4"/>
  <c r="S242" i="4"/>
  <c r="R242" i="4"/>
  <c r="Q242" i="4"/>
  <c r="P242" i="4"/>
  <c r="O242" i="4"/>
  <c r="N242" i="4"/>
  <c r="M242" i="4"/>
  <c r="L242" i="4"/>
  <c r="U241" i="4"/>
  <c r="T241" i="4"/>
  <c r="S241" i="4"/>
  <c r="R241" i="4"/>
  <c r="Q241" i="4"/>
  <c r="P241" i="4"/>
  <c r="O241" i="4"/>
  <c r="N241" i="4"/>
  <c r="M241" i="4"/>
  <c r="L241" i="4"/>
  <c r="U240" i="4"/>
  <c r="T240" i="4"/>
  <c r="S240" i="4"/>
  <c r="R240" i="4"/>
  <c r="Q240" i="4"/>
  <c r="P240" i="4"/>
  <c r="O240" i="4"/>
  <c r="N240" i="4"/>
  <c r="M240" i="4"/>
  <c r="L240" i="4"/>
  <c r="U239" i="4"/>
  <c r="T239" i="4"/>
  <c r="S239" i="4"/>
  <c r="R239" i="4"/>
  <c r="Q239" i="4"/>
  <c r="P239" i="4"/>
  <c r="O239" i="4"/>
  <c r="N239" i="4"/>
  <c r="M239" i="4"/>
  <c r="L239" i="4"/>
  <c r="U238" i="4"/>
  <c r="T238" i="4"/>
  <c r="S238" i="4"/>
  <c r="R238" i="4"/>
  <c r="Q238" i="4"/>
  <c r="P238" i="4"/>
  <c r="O238" i="4"/>
  <c r="N238" i="4"/>
  <c r="M238" i="4"/>
  <c r="L238" i="4"/>
  <c r="U237" i="4"/>
  <c r="T237" i="4"/>
  <c r="S237" i="4"/>
  <c r="R237" i="4"/>
  <c r="Q237" i="4"/>
  <c r="P237" i="4"/>
  <c r="O237" i="4"/>
  <c r="N237" i="4"/>
  <c r="M237" i="4"/>
  <c r="L237" i="4"/>
  <c r="U236" i="4"/>
  <c r="T236" i="4"/>
  <c r="S236" i="4"/>
  <c r="R236" i="4"/>
  <c r="Q236" i="4"/>
  <c r="P236" i="4"/>
  <c r="O236" i="4"/>
  <c r="N236" i="4"/>
  <c r="M236" i="4"/>
  <c r="L236" i="4"/>
  <c r="U235" i="4"/>
  <c r="T235" i="4"/>
  <c r="S235" i="4"/>
  <c r="R235" i="4"/>
  <c r="Q235" i="4"/>
  <c r="P235" i="4"/>
  <c r="O235" i="4"/>
  <c r="N235" i="4"/>
  <c r="M235" i="4"/>
  <c r="L235" i="4"/>
  <c r="U234" i="4"/>
  <c r="T234" i="4"/>
  <c r="S234" i="4"/>
  <c r="R234" i="4"/>
  <c r="Q234" i="4"/>
  <c r="P234" i="4"/>
  <c r="O234" i="4"/>
  <c r="N234" i="4"/>
  <c r="M234" i="4"/>
  <c r="L234" i="4"/>
  <c r="U233" i="4"/>
  <c r="T233" i="4"/>
  <c r="S233" i="4"/>
  <c r="R233" i="4"/>
  <c r="Q233" i="4"/>
  <c r="P233" i="4"/>
  <c r="O233" i="4"/>
  <c r="N233" i="4"/>
  <c r="M233" i="4"/>
  <c r="L233" i="4"/>
  <c r="U232" i="4"/>
  <c r="T232" i="4"/>
  <c r="S232" i="4"/>
  <c r="R232" i="4"/>
  <c r="Q232" i="4"/>
  <c r="P232" i="4"/>
  <c r="O232" i="4"/>
  <c r="N232" i="4"/>
  <c r="M232" i="4"/>
  <c r="L232" i="4"/>
  <c r="U231" i="4"/>
  <c r="T231" i="4"/>
  <c r="S231" i="4"/>
  <c r="R231" i="4"/>
  <c r="Q231" i="4"/>
  <c r="P231" i="4"/>
  <c r="O231" i="4"/>
  <c r="N231" i="4"/>
  <c r="M231" i="4"/>
  <c r="L231" i="4"/>
  <c r="U230" i="4"/>
  <c r="T230" i="4"/>
  <c r="S230" i="4"/>
  <c r="R230" i="4"/>
  <c r="Q230" i="4"/>
  <c r="P230" i="4"/>
  <c r="O230" i="4"/>
  <c r="N230" i="4"/>
  <c r="M230" i="4"/>
  <c r="L230" i="4"/>
  <c r="U229" i="4"/>
  <c r="T229" i="4"/>
  <c r="S229" i="4"/>
  <c r="R229" i="4"/>
  <c r="Q229" i="4"/>
  <c r="P229" i="4"/>
  <c r="O229" i="4"/>
  <c r="N229" i="4"/>
  <c r="M229" i="4"/>
  <c r="L229" i="4"/>
  <c r="U228" i="4"/>
  <c r="T228" i="4"/>
  <c r="S228" i="4"/>
  <c r="R228" i="4"/>
  <c r="Q228" i="4"/>
  <c r="P228" i="4"/>
  <c r="O228" i="4"/>
  <c r="N228" i="4"/>
  <c r="M228" i="4"/>
  <c r="L228" i="4"/>
  <c r="U227" i="4"/>
  <c r="T227" i="4"/>
  <c r="S227" i="4"/>
  <c r="R227" i="4"/>
  <c r="Q227" i="4"/>
  <c r="P227" i="4"/>
  <c r="O227" i="4"/>
  <c r="N227" i="4"/>
  <c r="M227" i="4"/>
  <c r="L227" i="4"/>
  <c r="U226" i="4"/>
  <c r="T226" i="4"/>
  <c r="S226" i="4"/>
  <c r="R226" i="4"/>
  <c r="Q226" i="4"/>
  <c r="P226" i="4"/>
  <c r="O226" i="4"/>
  <c r="N226" i="4"/>
  <c r="M226" i="4"/>
  <c r="L226" i="4"/>
  <c r="U225" i="4"/>
  <c r="T225" i="4"/>
  <c r="S225" i="4"/>
  <c r="R225" i="4"/>
  <c r="Q225" i="4"/>
  <c r="P225" i="4"/>
  <c r="O225" i="4"/>
  <c r="N225" i="4"/>
  <c r="M225" i="4"/>
  <c r="L225" i="4"/>
  <c r="U224" i="4"/>
  <c r="T224" i="4"/>
  <c r="S224" i="4"/>
  <c r="R224" i="4"/>
  <c r="Q224" i="4"/>
  <c r="P224" i="4"/>
  <c r="O224" i="4"/>
  <c r="N224" i="4"/>
  <c r="M224" i="4"/>
  <c r="L224" i="4"/>
  <c r="U223" i="4"/>
  <c r="T223" i="4"/>
  <c r="S223" i="4"/>
  <c r="R223" i="4"/>
  <c r="Q223" i="4"/>
  <c r="P223" i="4"/>
  <c r="O223" i="4"/>
  <c r="N223" i="4"/>
  <c r="M223" i="4"/>
  <c r="L223" i="4"/>
  <c r="U222" i="4"/>
  <c r="T222" i="4"/>
  <c r="S222" i="4"/>
  <c r="R222" i="4"/>
  <c r="Q222" i="4"/>
  <c r="P222" i="4"/>
  <c r="O222" i="4"/>
  <c r="N222" i="4"/>
  <c r="M222" i="4"/>
  <c r="L222" i="4"/>
  <c r="U221" i="4"/>
  <c r="T221" i="4"/>
  <c r="S221" i="4"/>
  <c r="R221" i="4"/>
  <c r="Q221" i="4"/>
  <c r="P221" i="4"/>
  <c r="O221" i="4"/>
  <c r="N221" i="4"/>
  <c r="M221" i="4"/>
  <c r="L221" i="4"/>
  <c r="U220" i="4"/>
  <c r="T220" i="4"/>
  <c r="S220" i="4"/>
  <c r="R220" i="4"/>
  <c r="Q220" i="4"/>
  <c r="P220" i="4"/>
  <c r="O220" i="4"/>
  <c r="N220" i="4"/>
  <c r="M220" i="4"/>
  <c r="L220" i="4"/>
  <c r="U219" i="4"/>
  <c r="T219" i="4"/>
  <c r="S219" i="4"/>
  <c r="R219" i="4"/>
  <c r="Q219" i="4"/>
  <c r="P219" i="4"/>
  <c r="O219" i="4"/>
  <c r="N219" i="4"/>
  <c r="M219" i="4"/>
  <c r="L219" i="4"/>
  <c r="U218" i="4"/>
  <c r="T218" i="4"/>
  <c r="S218" i="4"/>
  <c r="R218" i="4"/>
  <c r="Q218" i="4"/>
  <c r="P218" i="4"/>
  <c r="O218" i="4"/>
  <c r="N218" i="4"/>
  <c r="M218" i="4"/>
  <c r="L218" i="4"/>
  <c r="U217" i="4"/>
  <c r="T217" i="4"/>
  <c r="S217" i="4"/>
  <c r="R217" i="4"/>
  <c r="Q217" i="4"/>
  <c r="P217" i="4"/>
  <c r="O217" i="4"/>
  <c r="N217" i="4"/>
  <c r="M217" i="4"/>
  <c r="L217" i="4"/>
  <c r="U216" i="4"/>
  <c r="T216" i="4"/>
  <c r="S216" i="4"/>
  <c r="R216" i="4"/>
  <c r="Q216" i="4"/>
  <c r="P216" i="4"/>
  <c r="O216" i="4"/>
  <c r="N216" i="4"/>
  <c r="M216" i="4"/>
  <c r="L216" i="4"/>
  <c r="U215" i="4"/>
  <c r="T215" i="4"/>
  <c r="S215" i="4"/>
  <c r="R215" i="4"/>
  <c r="Q215" i="4"/>
  <c r="P215" i="4"/>
  <c r="O215" i="4"/>
  <c r="N215" i="4"/>
  <c r="M215" i="4"/>
  <c r="L215" i="4"/>
  <c r="U214" i="4"/>
  <c r="T214" i="4"/>
  <c r="S214" i="4"/>
  <c r="R214" i="4"/>
  <c r="Q214" i="4"/>
  <c r="P214" i="4"/>
  <c r="O214" i="4"/>
  <c r="N214" i="4"/>
  <c r="M214" i="4"/>
  <c r="L214" i="4"/>
  <c r="U213" i="4"/>
  <c r="T213" i="4"/>
  <c r="S213" i="4"/>
  <c r="R213" i="4"/>
  <c r="Q213" i="4"/>
  <c r="P213" i="4"/>
  <c r="O213" i="4"/>
  <c r="N213" i="4"/>
  <c r="M213" i="4"/>
  <c r="L213" i="4"/>
  <c r="U212" i="4"/>
  <c r="T212" i="4"/>
  <c r="S212" i="4"/>
  <c r="R212" i="4"/>
  <c r="Q212" i="4"/>
  <c r="P212" i="4"/>
  <c r="O212" i="4"/>
  <c r="N212" i="4"/>
  <c r="M212" i="4"/>
  <c r="L212" i="4"/>
  <c r="U211" i="4"/>
  <c r="T211" i="4"/>
  <c r="S211" i="4"/>
  <c r="R211" i="4"/>
  <c r="Q211" i="4"/>
  <c r="P211" i="4"/>
  <c r="O211" i="4"/>
  <c r="N211" i="4"/>
  <c r="M211" i="4"/>
  <c r="L211" i="4"/>
  <c r="U210" i="4"/>
  <c r="T210" i="4"/>
  <c r="S210" i="4"/>
  <c r="R210" i="4"/>
  <c r="Q210" i="4"/>
  <c r="P210" i="4"/>
  <c r="O210" i="4"/>
  <c r="N210" i="4"/>
  <c r="M210" i="4"/>
  <c r="L210" i="4"/>
  <c r="U209" i="4"/>
  <c r="T209" i="4"/>
  <c r="S209" i="4"/>
  <c r="R209" i="4"/>
  <c r="Q209" i="4"/>
  <c r="P209" i="4"/>
  <c r="O209" i="4"/>
  <c r="N209" i="4"/>
  <c r="M209" i="4"/>
  <c r="L209" i="4"/>
  <c r="U208" i="4"/>
  <c r="T208" i="4"/>
  <c r="S208" i="4"/>
  <c r="R208" i="4"/>
  <c r="Q208" i="4"/>
  <c r="P208" i="4"/>
  <c r="O208" i="4"/>
  <c r="N208" i="4"/>
  <c r="M208" i="4"/>
  <c r="L208" i="4"/>
  <c r="U207" i="4"/>
  <c r="T207" i="4"/>
  <c r="S207" i="4"/>
  <c r="R207" i="4"/>
  <c r="Q207" i="4"/>
  <c r="P207" i="4"/>
  <c r="O207" i="4"/>
  <c r="N207" i="4"/>
  <c r="M207" i="4"/>
  <c r="L207" i="4"/>
  <c r="U206" i="4"/>
  <c r="T206" i="4"/>
  <c r="S206" i="4"/>
  <c r="R206" i="4"/>
  <c r="Q206" i="4"/>
  <c r="P206" i="4"/>
  <c r="O206" i="4"/>
  <c r="N206" i="4"/>
  <c r="M206" i="4"/>
  <c r="L206" i="4"/>
  <c r="U205" i="4"/>
  <c r="T205" i="4"/>
  <c r="S205" i="4"/>
  <c r="R205" i="4"/>
  <c r="Q205" i="4"/>
  <c r="P205" i="4"/>
  <c r="O205" i="4"/>
  <c r="N205" i="4"/>
  <c r="M205" i="4"/>
  <c r="L205" i="4"/>
  <c r="U204" i="4"/>
  <c r="T204" i="4"/>
  <c r="S204" i="4"/>
  <c r="R204" i="4"/>
  <c r="Q204" i="4"/>
  <c r="P204" i="4"/>
  <c r="O204" i="4"/>
  <c r="N204" i="4"/>
  <c r="M204" i="4"/>
  <c r="L204" i="4"/>
  <c r="U203" i="4"/>
  <c r="T203" i="4"/>
  <c r="S203" i="4"/>
  <c r="R203" i="4"/>
  <c r="Q203" i="4"/>
  <c r="P203" i="4"/>
  <c r="O203" i="4"/>
  <c r="N203" i="4"/>
  <c r="M203" i="4"/>
  <c r="L203" i="4"/>
  <c r="U202" i="4"/>
  <c r="T202" i="4"/>
  <c r="S202" i="4"/>
  <c r="R202" i="4"/>
  <c r="Q202" i="4"/>
  <c r="P202" i="4"/>
  <c r="O202" i="4"/>
  <c r="N202" i="4"/>
  <c r="M202" i="4"/>
  <c r="L202" i="4"/>
  <c r="U201" i="4"/>
  <c r="T201" i="4"/>
  <c r="S201" i="4"/>
  <c r="R201" i="4"/>
  <c r="Q201" i="4"/>
  <c r="P201" i="4"/>
  <c r="O201" i="4"/>
  <c r="N201" i="4"/>
  <c r="M201" i="4"/>
  <c r="L201" i="4"/>
  <c r="U200" i="4"/>
  <c r="T200" i="4"/>
  <c r="S200" i="4"/>
  <c r="R200" i="4"/>
  <c r="Q200" i="4"/>
  <c r="P200" i="4"/>
  <c r="O200" i="4"/>
  <c r="N200" i="4"/>
  <c r="M200" i="4"/>
  <c r="L200" i="4"/>
  <c r="U199" i="4"/>
  <c r="T199" i="4"/>
  <c r="S199" i="4"/>
  <c r="R199" i="4"/>
  <c r="Q199" i="4"/>
  <c r="P199" i="4"/>
  <c r="O199" i="4"/>
  <c r="N199" i="4"/>
  <c r="M199" i="4"/>
  <c r="L199" i="4"/>
  <c r="U198" i="4"/>
  <c r="T198" i="4"/>
  <c r="S198" i="4"/>
  <c r="R198" i="4"/>
  <c r="Q198" i="4"/>
  <c r="P198" i="4"/>
  <c r="O198" i="4"/>
  <c r="N198" i="4"/>
  <c r="M198" i="4"/>
  <c r="L198" i="4"/>
  <c r="U197" i="4"/>
  <c r="T197" i="4"/>
  <c r="S197" i="4"/>
  <c r="R197" i="4"/>
  <c r="Q197" i="4"/>
  <c r="P197" i="4"/>
  <c r="O197" i="4"/>
  <c r="N197" i="4"/>
  <c r="M197" i="4"/>
  <c r="L197" i="4"/>
  <c r="U196" i="4"/>
  <c r="T196" i="4"/>
  <c r="S196" i="4"/>
  <c r="R196" i="4"/>
  <c r="Q196" i="4"/>
  <c r="P196" i="4"/>
  <c r="O196" i="4"/>
  <c r="N196" i="4"/>
  <c r="M196" i="4"/>
  <c r="L196" i="4"/>
  <c r="U195" i="4"/>
  <c r="T195" i="4"/>
  <c r="S195" i="4"/>
  <c r="R195" i="4"/>
  <c r="Q195" i="4"/>
  <c r="P195" i="4"/>
  <c r="O195" i="4"/>
  <c r="N195" i="4"/>
  <c r="M195" i="4"/>
  <c r="L195" i="4"/>
  <c r="U194" i="4"/>
  <c r="T194" i="4"/>
  <c r="S194" i="4"/>
  <c r="R194" i="4"/>
  <c r="Q194" i="4"/>
  <c r="P194" i="4"/>
  <c r="O194" i="4"/>
  <c r="N194" i="4"/>
  <c r="M194" i="4"/>
  <c r="L194" i="4"/>
  <c r="U193" i="4"/>
  <c r="T193" i="4"/>
  <c r="S193" i="4"/>
  <c r="R193" i="4"/>
  <c r="Q193" i="4"/>
  <c r="P193" i="4"/>
  <c r="O193" i="4"/>
  <c r="N193" i="4"/>
  <c r="M193" i="4"/>
  <c r="L193" i="4"/>
  <c r="U192" i="4"/>
  <c r="T192" i="4"/>
  <c r="S192" i="4"/>
  <c r="R192" i="4"/>
  <c r="Q192" i="4"/>
  <c r="P192" i="4"/>
  <c r="O192" i="4"/>
  <c r="N192" i="4"/>
  <c r="M192" i="4"/>
  <c r="L192" i="4"/>
  <c r="U191" i="4"/>
  <c r="T191" i="4"/>
  <c r="S191" i="4"/>
  <c r="R191" i="4"/>
  <c r="Q191" i="4"/>
  <c r="P191" i="4"/>
  <c r="O191" i="4"/>
  <c r="N191" i="4"/>
  <c r="M191" i="4"/>
  <c r="L191" i="4"/>
  <c r="U190" i="4"/>
  <c r="T190" i="4"/>
  <c r="S190" i="4"/>
  <c r="R190" i="4"/>
  <c r="Q190" i="4"/>
  <c r="P190" i="4"/>
  <c r="O190" i="4"/>
  <c r="N190" i="4"/>
  <c r="M190" i="4"/>
  <c r="L190" i="4"/>
  <c r="U189" i="4"/>
  <c r="T189" i="4"/>
  <c r="S189" i="4"/>
  <c r="R189" i="4"/>
  <c r="Q189" i="4"/>
  <c r="P189" i="4"/>
  <c r="O189" i="4"/>
  <c r="N189" i="4"/>
  <c r="M189" i="4"/>
  <c r="L189" i="4"/>
  <c r="U188" i="4"/>
  <c r="T188" i="4"/>
  <c r="S188" i="4"/>
  <c r="R188" i="4"/>
  <c r="Q188" i="4"/>
  <c r="P188" i="4"/>
  <c r="O188" i="4"/>
  <c r="N188" i="4"/>
  <c r="M188" i="4"/>
  <c r="L188" i="4"/>
  <c r="U187" i="4"/>
  <c r="T187" i="4"/>
  <c r="S187" i="4"/>
  <c r="R187" i="4"/>
  <c r="Q187" i="4"/>
  <c r="P187" i="4"/>
  <c r="O187" i="4"/>
  <c r="N187" i="4"/>
  <c r="M187" i="4"/>
  <c r="L187" i="4"/>
  <c r="U186" i="4"/>
  <c r="T186" i="4"/>
  <c r="S186" i="4"/>
  <c r="R186" i="4"/>
  <c r="Q186" i="4"/>
  <c r="P186" i="4"/>
  <c r="O186" i="4"/>
  <c r="N186" i="4"/>
  <c r="M186" i="4"/>
  <c r="L186" i="4"/>
  <c r="U185" i="4"/>
  <c r="T185" i="4"/>
  <c r="S185" i="4"/>
  <c r="R185" i="4"/>
  <c r="Q185" i="4"/>
  <c r="P185" i="4"/>
  <c r="O185" i="4"/>
  <c r="N185" i="4"/>
  <c r="M185" i="4"/>
  <c r="L185" i="4"/>
  <c r="U184" i="4"/>
  <c r="T184" i="4"/>
  <c r="S184" i="4"/>
  <c r="R184" i="4"/>
  <c r="Q184" i="4"/>
  <c r="P184" i="4"/>
  <c r="O184" i="4"/>
  <c r="N184" i="4"/>
  <c r="M184" i="4"/>
  <c r="L184" i="4"/>
  <c r="U183" i="4"/>
  <c r="T183" i="4"/>
  <c r="S183" i="4"/>
  <c r="R183" i="4"/>
  <c r="Q183" i="4"/>
  <c r="P183" i="4"/>
  <c r="O183" i="4"/>
  <c r="N183" i="4"/>
  <c r="M183" i="4"/>
  <c r="L183" i="4"/>
  <c r="U182" i="4"/>
  <c r="T182" i="4"/>
  <c r="S182" i="4"/>
  <c r="R182" i="4"/>
  <c r="Q182" i="4"/>
  <c r="P182" i="4"/>
  <c r="O182" i="4"/>
  <c r="N182" i="4"/>
  <c r="M182" i="4"/>
  <c r="L182" i="4"/>
  <c r="U181" i="4"/>
  <c r="T181" i="4"/>
  <c r="S181" i="4"/>
  <c r="R181" i="4"/>
  <c r="Q181" i="4"/>
  <c r="P181" i="4"/>
  <c r="O181" i="4"/>
  <c r="N181" i="4"/>
  <c r="M181" i="4"/>
  <c r="L181" i="4"/>
  <c r="U180" i="4"/>
  <c r="T180" i="4"/>
  <c r="S180" i="4"/>
  <c r="R180" i="4"/>
  <c r="Q180" i="4"/>
  <c r="P180" i="4"/>
  <c r="O180" i="4"/>
  <c r="N180" i="4"/>
  <c r="M180" i="4"/>
  <c r="L180" i="4"/>
  <c r="U179" i="4"/>
  <c r="T179" i="4"/>
  <c r="S179" i="4"/>
  <c r="R179" i="4"/>
  <c r="Q179" i="4"/>
  <c r="P179" i="4"/>
  <c r="O179" i="4"/>
  <c r="N179" i="4"/>
  <c r="M179" i="4"/>
  <c r="L179" i="4"/>
  <c r="U178" i="4"/>
  <c r="T178" i="4"/>
  <c r="S178" i="4"/>
  <c r="R178" i="4"/>
  <c r="Q178" i="4"/>
  <c r="P178" i="4"/>
  <c r="O178" i="4"/>
  <c r="N178" i="4"/>
  <c r="M178" i="4"/>
  <c r="L178" i="4"/>
  <c r="U177" i="4"/>
  <c r="T177" i="4"/>
  <c r="S177" i="4"/>
  <c r="R177" i="4"/>
  <c r="Q177" i="4"/>
  <c r="P177" i="4"/>
  <c r="O177" i="4"/>
  <c r="N177" i="4"/>
  <c r="M177" i="4"/>
  <c r="L177" i="4"/>
  <c r="U176" i="4"/>
  <c r="T176" i="4"/>
  <c r="S176" i="4"/>
  <c r="R176" i="4"/>
  <c r="Q176" i="4"/>
  <c r="P176" i="4"/>
  <c r="O176" i="4"/>
  <c r="N176" i="4"/>
  <c r="M176" i="4"/>
  <c r="L176" i="4"/>
  <c r="U175" i="4"/>
  <c r="T175" i="4"/>
  <c r="S175" i="4"/>
  <c r="R175" i="4"/>
  <c r="Q175" i="4"/>
  <c r="P175" i="4"/>
  <c r="O175" i="4"/>
  <c r="N175" i="4"/>
  <c r="M175" i="4"/>
  <c r="L175" i="4"/>
  <c r="U174" i="4"/>
  <c r="T174" i="4"/>
  <c r="S174" i="4"/>
  <c r="R174" i="4"/>
  <c r="Q174" i="4"/>
  <c r="P174" i="4"/>
  <c r="O174" i="4"/>
  <c r="N174" i="4"/>
  <c r="M174" i="4"/>
  <c r="L174" i="4"/>
  <c r="U173" i="4"/>
  <c r="T173" i="4"/>
  <c r="S173" i="4"/>
  <c r="R173" i="4"/>
  <c r="Q173" i="4"/>
  <c r="P173" i="4"/>
  <c r="O173" i="4"/>
  <c r="N173" i="4"/>
  <c r="M173" i="4"/>
  <c r="L173" i="4"/>
  <c r="U172" i="4"/>
  <c r="T172" i="4"/>
  <c r="S172" i="4"/>
  <c r="R172" i="4"/>
  <c r="Q172" i="4"/>
  <c r="P172" i="4"/>
  <c r="O172" i="4"/>
  <c r="N172" i="4"/>
  <c r="M172" i="4"/>
  <c r="L172" i="4"/>
  <c r="U171" i="4"/>
  <c r="T171" i="4"/>
  <c r="S171" i="4"/>
  <c r="R171" i="4"/>
  <c r="Q171" i="4"/>
  <c r="P171" i="4"/>
  <c r="O171" i="4"/>
  <c r="N171" i="4"/>
  <c r="M171" i="4"/>
  <c r="L171" i="4"/>
  <c r="U170" i="4"/>
  <c r="T170" i="4"/>
  <c r="S170" i="4"/>
  <c r="R170" i="4"/>
  <c r="Q170" i="4"/>
  <c r="P170" i="4"/>
  <c r="O170" i="4"/>
  <c r="N170" i="4"/>
  <c r="M170" i="4"/>
  <c r="L170" i="4"/>
  <c r="U169" i="4"/>
  <c r="T169" i="4"/>
  <c r="S169" i="4"/>
  <c r="R169" i="4"/>
  <c r="Q169" i="4"/>
  <c r="P169" i="4"/>
  <c r="O169" i="4"/>
  <c r="N169" i="4"/>
  <c r="M169" i="4"/>
  <c r="L169" i="4"/>
  <c r="U168" i="4"/>
  <c r="T168" i="4"/>
  <c r="S168" i="4"/>
  <c r="R168" i="4"/>
  <c r="Q168" i="4"/>
  <c r="P168" i="4"/>
  <c r="O168" i="4"/>
  <c r="N168" i="4"/>
  <c r="M168" i="4"/>
  <c r="L168" i="4"/>
  <c r="U167" i="4"/>
  <c r="T167" i="4"/>
  <c r="S167" i="4"/>
  <c r="R167" i="4"/>
  <c r="Q167" i="4"/>
  <c r="P167" i="4"/>
  <c r="O167" i="4"/>
  <c r="N167" i="4"/>
  <c r="M167" i="4"/>
  <c r="L167" i="4"/>
  <c r="U166" i="4"/>
  <c r="T166" i="4"/>
  <c r="S166" i="4"/>
  <c r="R166" i="4"/>
  <c r="Q166" i="4"/>
  <c r="P166" i="4"/>
  <c r="O166" i="4"/>
  <c r="N166" i="4"/>
  <c r="M166" i="4"/>
  <c r="L166" i="4"/>
  <c r="U165" i="4"/>
  <c r="T165" i="4"/>
  <c r="S165" i="4"/>
  <c r="R165" i="4"/>
  <c r="Q165" i="4"/>
  <c r="P165" i="4"/>
  <c r="O165" i="4"/>
  <c r="N165" i="4"/>
  <c r="M165" i="4"/>
  <c r="L165" i="4"/>
  <c r="U164" i="4"/>
  <c r="T164" i="4"/>
  <c r="S164" i="4"/>
  <c r="R164" i="4"/>
  <c r="Q164" i="4"/>
  <c r="P164" i="4"/>
  <c r="O164" i="4"/>
  <c r="N164" i="4"/>
  <c r="M164" i="4"/>
  <c r="L164" i="4"/>
  <c r="U163" i="4"/>
  <c r="T163" i="4"/>
  <c r="S163" i="4"/>
  <c r="R163" i="4"/>
  <c r="Q163" i="4"/>
  <c r="P163" i="4"/>
  <c r="O163" i="4"/>
  <c r="N163" i="4"/>
  <c r="M163" i="4"/>
  <c r="L163" i="4"/>
  <c r="U162" i="4"/>
  <c r="T162" i="4"/>
  <c r="S162" i="4"/>
  <c r="R162" i="4"/>
  <c r="Q162" i="4"/>
  <c r="P162" i="4"/>
  <c r="O162" i="4"/>
  <c r="N162" i="4"/>
  <c r="M162" i="4"/>
  <c r="L162" i="4"/>
  <c r="U161" i="4"/>
  <c r="T161" i="4"/>
  <c r="S161" i="4"/>
  <c r="R161" i="4"/>
  <c r="Q161" i="4"/>
  <c r="P161" i="4"/>
  <c r="O161" i="4"/>
  <c r="N161" i="4"/>
  <c r="M161" i="4"/>
  <c r="L161" i="4"/>
  <c r="U160" i="4"/>
  <c r="T160" i="4"/>
  <c r="S160" i="4"/>
  <c r="R160" i="4"/>
  <c r="Q160" i="4"/>
  <c r="P160" i="4"/>
  <c r="O160" i="4"/>
  <c r="N160" i="4"/>
  <c r="M160" i="4"/>
  <c r="L160" i="4"/>
  <c r="U159" i="4"/>
  <c r="T159" i="4"/>
  <c r="S159" i="4"/>
  <c r="R159" i="4"/>
  <c r="Q159" i="4"/>
  <c r="P159" i="4"/>
  <c r="O159" i="4"/>
  <c r="N159" i="4"/>
  <c r="M159" i="4"/>
  <c r="L159" i="4"/>
  <c r="U158" i="4"/>
  <c r="T158" i="4"/>
  <c r="S158" i="4"/>
  <c r="R158" i="4"/>
  <c r="Q158" i="4"/>
  <c r="P158" i="4"/>
  <c r="O158" i="4"/>
  <c r="N158" i="4"/>
  <c r="M158" i="4"/>
  <c r="L158" i="4"/>
  <c r="U157" i="4"/>
  <c r="T157" i="4"/>
  <c r="S157" i="4"/>
  <c r="R157" i="4"/>
  <c r="Q157" i="4"/>
  <c r="P157" i="4"/>
  <c r="O157" i="4"/>
  <c r="N157" i="4"/>
  <c r="M157" i="4"/>
  <c r="L157" i="4"/>
  <c r="U156" i="4"/>
  <c r="T156" i="4"/>
  <c r="S156" i="4"/>
  <c r="R156" i="4"/>
  <c r="Q156" i="4"/>
  <c r="P156" i="4"/>
  <c r="O156" i="4"/>
  <c r="N156" i="4"/>
  <c r="M156" i="4"/>
  <c r="L156" i="4"/>
  <c r="U155" i="4"/>
  <c r="T155" i="4"/>
  <c r="S155" i="4"/>
  <c r="R155" i="4"/>
  <c r="Q155" i="4"/>
  <c r="P155" i="4"/>
  <c r="O155" i="4"/>
  <c r="N155" i="4"/>
  <c r="M155" i="4"/>
  <c r="L155" i="4"/>
  <c r="U154" i="4"/>
  <c r="T154" i="4"/>
  <c r="S154" i="4"/>
  <c r="R154" i="4"/>
  <c r="Q154" i="4"/>
  <c r="P154" i="4"/>
  <c r="O154" i="4"/>
  <c r="N154" i="4"/>
  <c r="M154" i="4"/>
  <c r="L154" i="4"/>
  <c r="U153" i="4"/>
  <c r="T153" i="4"/>
  <c r="S153" i="4"/>
  <c r="R153" i="4"/>
  <c r="Q153" i="4"/>
  <c r="P153" i="4"/>
  <c r="O153" i="4"/>
  <c r="N153" i="4"/>
  <c r="M153" i="4"/>
  <c r="L153" i="4"/>
  <c r="U152" i="4"/>
  <c r="T152" i="4"/>
  <c r="S152" i="4"/>
  <c r="R152" i="4"/>
  <c r="Q152" i="4"/>
  <c r="P152" i="4"/>
  <c r="O152" i="4"/>
  <c r="N152" i="4"/>
  <c r="M152" i="4"/>
  <c r="L152" i="4"/>
  <c r="U151" i="4"/>
  <c r="T151" i="4"/>
  <c r="S151" i="4"/>
  <c r="R151" i="4"/>
  <c r="Q151" i="4"/>
  <c r="P151" i="4"/>
  <c r="O151" i="4"/>
  <c r="N151" i="4"/>
  <c r="M151" i="4"/>
  <c r="L151" i="4"/>
  <c r="U150" i="4"/>
  <c r="T150" i="4"/>
  <c r="S150" i="4"/>
  <c r="R150" i="4"/>
  <c r="Q150" i="4"/>
  <c r="P150" i="4"/>
  <c r="O150" i="4"/>
  <c r="N150" i="4"/>
  <c r="M150" i="4"/>
  <c r="L150" i="4"/>
  <c r="U149" i="4"/>
  <c r="T149" i="4"/>
  <c r="S149" i="4"/>
  <c r="R149" i="4"/>
  <c r="Q149" i="4"/>
  <c r="P149" i="4"/>
  <c r="O149" i="4"/>
  <c r="N149" i="4"/>
  <c r="M149" i="4"/>
  <c r="L149" i="4"/>
  <c r="U148" i="4"/>
  <c r="T148" i="4"/>
  <c r="S148" i="4"/>
  <c r="R148" i="4"/>
  <c r="Q148" i="4"/>
  <c r="P148" i="4"/>
  <c r="O148" i="4"/>
  <c r="N148" i="4"/>
  <c r="M148" i="4"/>
  <c r="L148" i="4"/>
  <c r="U147" i="4"/>
  <c r="T147" i="4"/>
  <c r="S147" i="4"/>
  <c r="R147" i="4"/>
  <c r="Q147" i="4"/>
  <c r="P147" i="4"/>
  <c r="O147" i="4"/>
  <c r="N147" i="4"/>
  <c r="M147" i="4"/>
  <c r="L147" i="4"/>
  <c r="U146" i="4"/>
  <c r="T146" i="4"/>
  <c r="S146" i="4"/>
  <c r="R146" i="4"/>
  <c r="Q146" i="4"/>
  <c r="P146" i="4"/>
  <c r="O146" i="4"/>
  <c r="N146" i="4"/>
  <c r="M146" i="4"/>
  <c r="L146" i="4"/>
  <c r="U145" i="4"/>
  <c r="T145" i="4"/>
  <c r="S145" i="4"/>
  <c r="R145" i="4"/>
  <c r="Q145" i="4"/>
  <c r="P145" i="4"/>
  <c r="O145" i="4"/>
  <c r="N145" i="4"/>
  <c r="M145" i="4"/>
  <c r="L145" i="4"/>
  <c r="U144" i="4"/>
  <c r="T144" i="4"/>
  <c r="S144" i="4"/>
  <c r="R144" i="4"/>
  <c r="Q144" i="4"/>
  <c r="P144" i="4"/>
  <c r="O144" i="4"/>
  <c r="N144" i="4"/>
  <c r="M144" i="4"/>
  <c r="L144" i="4"/>
  <c r="U143" i="4"/>
  <c r="T143" i="4"/>
  <c r="S143" i="4"/>
  <c r="R143" i="4"/>
  <c r="Q143" i="4"/>
  <c r="P143" i="4"/>
  <c r="O143" i="4"/>
  <c r="N143" i="4"/>
  <c r="M143" i="4"/>
  <c r="L143" i="4"/>
  <c r="U142" i="4"/>
  <c r="T142" i="4"/>
  <c r="S142" i="4"/>
  <c r="R142" i="4"/>
  <c r="Q142" i="4"/>
  <c r="P142" i="4"/>
  <c r="O142" i="4"/>
  <c r="N142" i="4"/>
  <c r="M142" i="4"/>
  <c r="L142" i="4"/>
  <c r="U141" i="4"/>
  <c r="T141" i="4"/>
  <c r="S141" i="4"/>
  <c r="R141" i="4"/>
  <c r="Q141" i="4"/>
  <c r="P141" i="4"/>
  <c r="O141" i="4"/>
  <c r="N141" i="4"/>
  <c r="M141" i="4"/>
  <c r="L141" i="4"/>
  <c r="U140" i="4"/>
  <c r="T140" i="4"/>
  <c r="S140" i="4"/>
  <c r="R140" i="4"/>
  <c r="Q140" i="4"/>
  <c r="P140" i="4"/>
  <c r="O140" i="4"/>
  <c r="N140" i="4"/>
  <c r="M140" i="4"/>
  <c r="L140" i="4"/>
  <c r="U139" i="4"/>
  <c r="T139" i="4"/>
  <c r="S139" i="4"/>
  <c r="R139" i="4"/>
  <c r="Q139" i="4"/>
  <c r="P139" i="4"/>
  <c r="O139" i="4"/>
  <c r="N139" i="4"/>
  <c r="M139" i="4"/>
  <c r="L139" i="4"/>
  <c r="U138" i="4"/>
  <c r="T138" i="4"/>
  <c r="S138" i="4"/>
  <c r="R138" i="4"/>
  <c r="Q138" i="4"/>
  <c r="P138" i="4"/>
  <c r="O138" i="4"/>
  <c r="N138" i="4"/>
  <c r="M138" i="4"/>
  <c r="L138" i="4"/>
  <c r="U137" i="4"/>
  <c r="T137" i="4"/>
  <c r="S137" i="4"/>
  <c r="R137" i="4"/>
  <c r="Q137" i="4"/>
  <c r="P137" i="4"/>
  <c r="O137" i="4"/>
  <c r="N137" i="4"/>
  <c r="M137" i="4"/>
  <c r="L137" i="4"/>
  <c r="U136" i="4"/>
  <c r="T136" i="4"/>
  <c r="S136" i="4"/>
  <c r="R136" i="4"/>
  <c r="Q136" i="4"/>
  <c r="P136" i="4"/>
  <c r="O136" i="4"/>
  <c r="N136" i="4"/>
  <c r="M136" i="4"/>
  <c r="L136" i="4"/>
  <c r="U135" i="4"/>
  <c r="T135" i="4"/>
  <c r="S135" i="4"/>
  <c r="R135" i="4"/>
  <c r="Q135" i="4"/>
  <c r="P135" i="4"/>
  <c r="O135" i="4"/>
  <c r="N135" i="4"/>
  <c r="M135" i="4"/>
  <c r="L135" i="4"/>
  <c r="U134" i="4"/>
  <c r="T134" i="4"/>
  <c r="S134" i="4"/>
  <c r="R134" i="4"/>
  <c r="Q134" i="4"/>
  <c r="P134" i="4"/>
  <c r="O134" i="4"/>
  <c r="N134" i="4"/>
  <c r="M134" i="4"/>
  <c r="L134" i="4"/>
  <c r="U133" i="4"/>
  <c r="T133" i="4"/>
  <c r="S133" i="4"/>
  <c r="R133" i="4"/>
  <c r="Q133" i="4"/>
  <c r="P133" i="4"/>
  <c r="O133" i="4"/>
  <c r="N133" i="4"/>
  <c r="M133" i="4"/>
  <c r="L133" i="4"/>
  <c r="U132" i="4"/>
  <c r="T132" i="4"/>
  <c r="S132" i="4"/>
  <c r="R132" i="4"/>
  <c r="Q132" i="4"/>
  <c r="P132" i="4"/>
  <c r="O132" i="4"/>
  <c r="N132" i="4"/>
  <c r="M132" i="4"/>
  <c r="L132" i="4"/>
  <c r="U131" i="4"/>
  <c r="T131" i="4"/>
  <c r="S131" i="4"/>
  <c r="R131" i="4"/>
  <c r="Q131" i="4"/>
  <c r="P131" i="4"/>
  <c r="O131" i="4"/>
  <c r="N131" i="4"/>
  <c r="M131" i="4"/>
  <c r="L131" i="4"/>
  <c r="U130" i="4"/>
  <c r="T130" i="4"/>
  <c r="S130" i="4"/>
  <c r="R130" i="4"/>
  <c r="Q130" i="4"/>
  <c r="P130" i="4"/>
  <c r="O130" i="4"/>
  <c r="N130" i="4"/>
  <c r="M130" i="4"/>
  <c r="L130" i="4"/>
  <c r="U129" i="4"/>
  <c r="T129" i="4"/>
  <c r="S129" i="4"/>
  <c r="R129" i="4"/>
  <c r="Q129" i="4"/>
  <c r="P129" i="4"/>
  <c r="O129" i="4"/>
  <c r="N129" i="4"/>
  <c r="M129" i="4"/>
  <c r="L129" i="4"/>
  <c r="U128" i="4"/>
  <c r="T128" i="4"/>
  <c r="S128" i="4"/>
  <c r="R128" i="4"/>
  <c r="Q128" i="4"/>
  <c r="P128" i="4"/>
  <c r="O128" i="4"/>
  <c r="N128" i="4"/>
  <c r="M128" i="4"/>
  <c r="L128" i="4"/>
  <c r="U127" i="4"/>
  <c r="T127" i="4"/>
  <c r="S127" i="4"/>
  <c r="R127" i="4"/>
  <c r="Q127" i="4"/>
  <c r="P127" i="4"/>
  <c r="O127" i="4"/>
  <c r="N127" i="4"/>
  <c r="M127" i="4"/>
  <c r="L127" i="4"/>
  <c r="U126" i="4"/>
  <c r="T126" i="4"/>
  <c r="S126" i="4"/>
  <c r="R126" i="4"/>
  <c r="Q126" i="4"/>
  <c r="P126" i="4"/>
  <c r="O126" i="4"/>
  <c r="N126" i="4"/>
  <c r="M126" i="4"/>
  <c r="L126" i="4"/>
  <c r="U125" i="4"/>
  <c r="T125" i="4"/>
  <c r="S125" i="4"/>
  <c r="R125" i="4"/>
  <c r="Q125" i="4"/>
  <c r="P125" i="4"/>
  <c r="O125" i="4"/>
  <c r="N125" i="4"/>
  <c r="M125" i="4"/>
  <c r="L125" i="4"/>
  <c r="U124" i="4"/>
  <c r="T124" i="4"/>
  <c r="S124" i="4"/>
  <c r="R124" i="4"/>
  <c r="Q124" i="4"/>
  <c r="P124" i="4"/>
  <c r="O124" i="4"/>
  <c r="N124" i="4"/>
  <c r="M124" i="4"/>
  <c r="L124" i="4"/>
  <c r="U123" i="4"/>
  <c r="T123" i="4"/>
  <c r="S123" i="4"/>
  <c r="R123" i="4"/>
  <c r="Q123" i="4"/>
  <c r="P123" i="4"/>
  <c r="O123" i="4"/>
  <c r="N123" i="4"/>
  <c r="M123" i="4"/>
  <c r="L123" i="4"/>
  <c r="U122" i="4"/>
  <c r="T122" i="4"/>
  <c r="S122" i="4"/>
  <c r="R122" i="4"/>
  <c r="Q122" i="4"/>
  <c r="P122" i="4"/>
  <c r="O122" i="4"/>
  <c r="N122" i="4"/>
  <c r="M122" i="4"/>
  <c r="L122" i="4"/>
  <c r="U121" i="4"/>
  <c r="T121" i="4"/>
  <c r="S121" i="4"/>
  <c r="R121" i="4"/>
  <c r="Q121" i="4"/>
  <c r="P121" i="4"/>
  <c r="O121" i="4"/>
  <c r="N121" i="4"/>
  <c r="M121" i="4"/>
  <c r="L121" i="4"/>
  <c r="U120" i="4"/>
  <c r="T120" i="4"/>
  <c r="S120" i="4"/>
  <c r="R120" i="4"/>
  <c r="Q120" i="4"/>
  <c r="P120" i="4"/>
  <c r="O120" i="4"/>
  <c r="N120" i="4"/>
  <c r="M120" i="4"/>
  <c r="L120" i="4"/>
  <c r="U119" i="4"/>
  <c r="T119" i="4"/>
  <c r="S119" i="4"/>
  <c r="R119" i="4"/>
  <c r="Q119" i="4"/>
  <c r="P119" i="4"/>
  <c r="O119" i="4"/>
  <c r="N119" i="4"/>
  <c r="M119" i="4"/>
  <c r="L119" i="4"/>
  <c r="U118" i="4"/>
  <c r="T118" i="4"/>
  <c r="S118" i="4"/>
  <c r="R118" i="4"/>
  <c r="Q118" i="4"/>
  <c r="P118" i="4"/>
  <c r="O118" i="4"/>
  <c r="N118" i="4"/>
  <c r="M118" i="4"/>
  <c r="L118" i="4"/>
  <c r="U117" i="4"/>
  <c r="T117" i="4"/>
  <c r="S117" i="4"/>
  <c r="R117" i="4"/>
  <c r="Q117" i="4"/>
  <c r="P117" i="4"/>
  <c r="O117" i="4"/>
  <c r="N117" i="4"/>
  <c r="M117" i="4"/>
  <c r="L117" i="4"/>
  <c r="U116" i="4"/>
  <c r="T116" i="4"/>
  <c r="S116" i="4"/>
  <c r="R116" i="4"/>
  <c r="Q116" i="4"/>
  <c r="P116" i="4"/>
  <c r="O116" i="4"/>
  <c r="N116" i="4"/>
  <c r="M116" i="4"/>
  <c r="L116" i="4"/>
  <c r="U115" i="4"/>
  <c r="T115" i="4"/>
  <c r="S115" i="4"/>
  <c r="R115" i="4"/>
  <c r="Q115" i="4"/>
  <c r="P115" i="4"/>
  <c r="O115" i="4"/>
  <c r="N115" i="4"/>
  <c r="M115" i="4"/>
  <c r="L115" i="4"/>
  <c r="U114" i="4"/>
  <c r="T114" i="4"/>
  <c r="S114" i="4"/>
  <c r="R114" i="4"/>
  <c r="Q114" i="4"/>
  <c r="P114" i="4"/>
  <c r="O114" i="4"/>
  <c r="N114" i="4"/>
  <c r="M114" i="4"/>
  <c r="L114" i="4"/>
  <c r="U113" i="4"/>
  <c r="T113" i="4"/>
  <c r="S113" i="4"/>
  <c r="R113" i="4"/>
  <c r="Q113" i="4"/>
  <c r="P113" i="4"/>
  <c r="O113" i="4"/>
  <c r="N113" i="4"/>
  <c r="M113" i="4"/>
  <c r="L113" i="4"/>
  <c r="U112" i="4"/>
  <c r="T112" i="4"/>
  <c r="S112" i="4"/>
  <c r="R112" i="4"/>
  <c r="Q112" i="4"/>
  <c r="P112" i="4"/>
  <c r="O112" i="4"/>
  <c r="N112" i="4"/>
  <c r="M112" i="4"/>
  <c r="L112" i="4"/>
  <c r="U111" i="4"/>
  <c r="T111" i="4"/>
  <c r="S111" i="4"/>
  <c r="R111" i="4"/>
  <c r="Q111" i="4"/>
  <c r="P111" i="4"/>
  <c r="O111" i="4"/>
  <c r="N111" i="4"/>
  <c r="M111" i="4"/>
  <c r="L111" i="4"/>
  <c r="U110" i="4"/>
  <c r="T110" i="4"/>
  <c r="S110" i="4"/>
  <c r="R110" i="4"/>
  <c r="Q110" i="4"/>
  <c r="P110" i="4"/>
  <c r="O110" i="4"/>
  <c r="N110" i="4"/>
  <c r="M110" i="4"/>
  <c r="L110" i="4"/>
  <c r="U109" i="4"/>
  <c r="T109" i="4"/>
  <c r="S109" i="4"/>
  <c r="R109" i="4"/>
  <c r="Q109" i="4"/>
  <c r="P109" i="4"/>
  <c r="O109" i="4"/>
  <c r="N109" i="4"/>
  <c r="M109" i="4"/>
  <c r="L109" i="4"/>
  <c r="U108" i="4"/>
  <c r="T108" i="4"/>
  <c r="S108" i="4"/>
  <c r="R108" i="4"/>
  <c r="Q108" i="4"/>
  <c r="P108" i="4"/>
  <c r="O108" i="4"/>
  <c r="N108" i="4"/>
  <c r="M108" i="4"/>
  <c r="L108" i="4"/>
  <c r="U107" i="4"/>
  <c r="T107" i="4"/>
  <c r="S107" i="4"/>
  <c r="R107" i="4"/>
  <c r="Q107" i="4"/>
  <c r="P107" i="4"/>
  <c r="O107" i="4"/>
  <c r="N107" i="4"/>
  <c r="M107" i="4"/>
  <c r="L107" i="4"/>
  <c r="U106" i="4"/>
  <c r="T106" i="4"/>
  <c r="S106" i="4"/>
  <c r="R106" i="4"/>
  <c r="Q106" i="4"/>
  <c r="P106" i="4"/>
  <c r="O106" i="4"/>
  <c r="N106" i="4"/>
  <c r="M106" i="4"/>
  <c r="L106" i="4"/>
  <c r="U105" i="4"/>
  <c r="T105" i="4"/>
  <c r="S105" i="4"/>
  <c r="R105" i="4"/>
  <c r="Q105" i="4"/>
  <c r="P105" i="4"/>
  <c r="O105" i="4"/>
  <c r="N105" i="4"/>
  <c r="M105" i="4"/>
  <c r="L105" i="4"/>
  <c r="U104" i="4"/>
  <c r="T104" i="4"/>
  <c r="S104" i="4"/>
  <c r="R104" i="4"/>
  <c r="Q104" i="4"/>
  <c r="P104" i="4"/>
  <c r="O104" i="4"/>
  <c r="N104" i="4"/>
  <c r="M104" i="4"/>
  <c r="L104" i="4"/>
  <c r="U103" i="4"/>
  <c r="T103" i="4"/>
  <c r="S103" i="4"/>
  <c r="R103" i="4"/>
  <c r="Q103" i="4"/>
  <c r="P103" i="4"/>
  <c r="O103" i="4"/>
  <c r="N103" i="4"/>
  <c r="M103" i="4"/>
  <c r="L103" i="4"/>
  <c r="U102" i="4"/>
  <c r="T102" i="4"/>
  <c r="S102" i="4"/>
  <c r="R102" i="4"/>
  <c r="Q102" i="4"/>
  <c r="P102" i="4"/>
  <c r="O102" i="4"/>
  <c r="N102" i="4"/>
  <c r="M102" i="4"/>
  <c r="L102" i="4"/>
  <c r="U101" i="4"/>
  <c r="T101" i="4"/>
  <c r="S101" i="4"/>
  <c r="R101" i="4"/>
  <c r="Q101" i="4"/>
  <c r="P101" i="4"/>
  <c r="O101" i="4"/>
  <c r="N101" i="4"/>
  <c r="M101" i="4"/>
  <c r="L101" i="4"/>
  <c r="U100" i="4"/>
  <c r="T100" i="4"/>
  <c r="S100" i="4"/>
  <c r="R100" i="4"/>
  <c r="Q100" i="4"/>
  <c r="P100" i="4"/>
  <c r="O100" i="4"/>
  <c r="N100" i="4"/>
  <c r="M100" i="4"/>
  <c r="L100" i="4"/>
  <c r="U99" i="4"/>
  <c r="T99" i="4"/>
  <c r="S99" i="4"/>
  <c r="R99" i="4"/>
  <c r="Q99" i="4"/>
  <c r="P99" i="4"/>
  <c r="O99" i="4"/>
  <c r="N99" i="4"/>
  <c r="M99" i="4"/>
  <c r="L99" i="4"/>
  <c r="U98" i="4"/>
  <c r="T98" i="4"/>
  <c r="S98" i="4"/>
  <c r="R98" i="4"/>
  <c r="Q98" i="4"/>
  <c r="P98" i="4"/>
  <c r="O98" i="4"/>
  <c r="N98" i="4"/>
  <c r="M98" i="4"/>
  <c r="L98" i="4"/>
  <c r="U97" i="4"/>
  <c r="T97" i="4"/>
  <c r="S97" i="4"/>
  <c r="R97" i="4"/>
  <c r="Q97" i="4"/>
  <c r="P97" i="4"/>
  <c r="O97" i="4"/>
  <c r="N97" i="4"/>
  <c r="M97" i="4"/>
  <c r="L97" i="4"/>
  <c r="U96" i="4"/>
  <c r="T96" i="4"/>
  <c r="S96" i="4"/>
  <c r="R96" i="4"/>
  <c r="Q96" i="4"/>
  <c r="P96" i="4"/>
  <c r="O96" i="4"/>
  <c r="N96" i="4"/>
  <c r="M96" i="4"/>
  <c r="L96" i="4"/>
  <c r="U95" i="4"/>
  <c r="T95" i="4"/>
  <c r="S95" i="4"/>
  <c r="R95" i="4"/>
  <c r="Q95" i="4"/>
  <c r="P95" i="4"/>
  <c r="O95" i="4"/>
  <c r="N95" i="4"/>
  <c r="M95" i="4"/>
  <c r="L95" i="4"/>
  <c r="U94" i="4"/>
  <c r="T94" i="4"/>
  <c r="S94" i="4"/>
  <c r="R94" i="4"/>
  <c r="Q94" i="4"/>
  <c r="P94" i="4"/>
  <c r="O94" i="4"/>
  <c r="N94" i="4"/>
  <c r="M94" i="4"/>
  <c r="L94" i="4"/>
  <c r="U93" i="4"/>
  <c r="T93" i="4"/>
  <c r="S93" i="4"/>
  <c r="R93" i="4"/>
  <c r="Q93" i="4"/>
  <c r="P93" i="4"/>
  <c r="O93" i="4"/>
  <c r="N93" i="4"/>
  <c r="M93" i="4"/>
  <c r="L93" i="4"/>
  <c r="U92" i="4"/>
  <c r="T92" i="4"/>
  <c r="S92" i="4"/>
  <c r="R92" i="4"/>
  <c r="Q92" i="4"/>
  <c r="P92" i="4"/>
  <c r="O92" i="4"/>
  <c r="N92" i="4"/>
  <c r="M92" i="4"/>
  <c r="L92" i="4"/>
  <c r="U91" i="4"/>
  <c r="T91" i="4"/>
  <c r="S91" i="4"/>
  <c r="R91" i="4"/>
  <c r="Q91" i="4"/>
  <c r="P91" i="4"/>
  <c r="O91" i="4"/>
  <c r="N91" i="4"/>
  <c r="M91" i="4"/>
  <c r="L91" i="4"/>
  <c r="U90" i="4"/>
  <c r="T90" i="4"/>
  <c r="S90" i="4"/>
  <c r="R90" i="4"/>
  <c r="Q90" i="4"/>
  <c r="P90" i="4"/>
  <c r="O90" i="4"/>
  <c r="N90" i="4"/>
  <c r="M90" i="4"/>
  <c r="L90" i="4"/>
  <c r="U89" i="4"/>
  <c r="T89" i="4"/>
  <c r="S89" i="4"/>
  <c r="R89" i="4"/>
  <c r="Q89" i="4"/>
  <c r="P89" i="4"/>
  <c r="O89" i="4"/>
  <c r="N89" i="4"/>
  <c r="M89" i="4"/>
  <c r="L89" i="4"/>
  <c r="U88" i="4"/>
  <c r="T88" i="4"/>
  <c r="S88" i="4"/>
  <c r="R88" i="4"/>
  <c r="Q88" i="4"/>
  <c r="P88" i="4"/>
  <c r="O88" i="4"/>
  <c r="N88" i="4"/>
  <c r="M88" i="4"/>
  <c r="L88" i="4"/>
  <c r="U87" i="4"/>
  <c r="T87" i="4"/>
  <c r="S87" i="4"/>
  <c r="R87" i="4"/>
  <c r="Q87" i="4"/>
  <c r="P87" i="4"/>
  <c r="O87" i="4"/>
  <c r="N87" i="4"/>
  <c r="M87" i="4"/>
  <c r="L87" i="4"/>
  <c r="U86" i="4"/>
  <c r="T86" i="4"/>
  <c r="S86" i="4"/>
  <c r="R86" i="4"/>
  <c r="Q86" i="4"/>
  <c r="P86" i="4"/>
  <c r="O86" i="4"/>
  <c r="N86" i="4"/>
  <c r="M86" i="4"/>
  <c r="L86" i="4"/>
  <c r="U85" i="4"/>
  <c r="T85" i="4"/>
  <c r="S85" i="4"/>
  <c r="R85" i="4"/>
  <c r="Q85" i="4"/>
  <c r="P85" i="4"/>
  <c r="O85" i="4"/>
  <c r="N85" i="4"/>
  <c r="M85" i="4"/>
  <c r="L85" i="4"/>
  <c r="U84" i="4"/>
  <c r="T84" i="4"/>
  <c r="S84" i="4"/>
  <c r="R84" i="4"/>
  <c r="Q84" i="4"/>
  <c r="P84" i="4"/>
  <c r="O84" i="4"/>
  <c r="N84" i="4"/>
  <c r="M84" i="4"/>
  <c r="L84" i="4"/>
  <c r="U83" i="4"/>
  <c r="T83" i="4"/>
  <c r="S83" i="4"/>
  <c r="R83" i="4"/>
  <c r="Q83" i="4"/>
  <c r="P83" i="4"/>
  <c r="O83" i="4"/>
  <c r="N83" i="4"/>
  <c r="M83" i="4"/>
  <c r="L83" i="4"/>
  <c r="U82" i="4"/>
  <c r="T82" i="4"/>
  <c r="S82" i="4"/>
  <c r="R82" i="4"/>
  <c r="Q82" i="4"/>
  <c r="P82" i="4"/>
  <c r="O82" i="4"/>
  <c r="N82" i="4"/>
  <c r="M82" i="4"/>
  <c r="L82" i="4"/>
  <c r="U81" i="4"/>
  <c r="T81" i="4"/>
  <c r="S81" i="4"/>
  <c r="R81" i="4"/>
  <c r="Q81" i="4"/>
  <c r="P81" i="4"/>
  <c r="O81" i="4"/>
  <c r="N81" i="4"/>
  <c r="M81" i="4"/>
  <c r="L81" i="4"/>
  <c r="U80" i="4"/>
  <c r="T80" i="4"/>
  <c r="S80" i="4"/>
  <c r="R80" i="4"/>
  <c r="Q80" i="4"/>
  <c r="P80" i="4"/>
  <c r="O80" i="4"/>
  <c r="N80" i="4"/>
  <c r="M80" i="4"/>
  <c r="L80" i="4"/>
  <c r="U79" i="4"/>
  <c r="T79" i="4"/>
  <c r="S79" i="4"/>
  <c r="R79" i="4"/>
  <c r="Q79" i="4"/>
  <c r="P79" i="4"/>
  <c r="O79" i="4"/>
  <c r="N79" i="4"/>
  <c r="M79" i="4"/>
  <c r="L79" i="4"/>
  <c r="U78" i="4"/>
  <c r="T78" i="4"/>
  <c r="S78" i="4"/>
  <c r="R78" i="4"/>
  <c r="Q78" i="4"/>
  <c r="P78" i="4"/>
  <c r="O78" i="4"/>
  <c r="N78" i="4"/>
  <c r="M78" i="4"/>
  <c r="L78" i="4"/>
  <c r="U77" i="4"/>
  <c r="T77" i="4"/>
  <c r="S77" i="4"/>
  <c r="R77" i="4"/>
  <c r="Q77" i="4"/>
  <c r="P77" i="4"/>
  <c r="O77" i="4"/>
  <c r="N77" i="4"/>
  <c r="M77" i="4"/>
  <c r="L77" i="4"/>
  <c r="U76" i="4"/>
  <c r="T76" i="4"/>
  <c r="S76" i="4"/>
  <c r="R76" i="4"/>
  <c r="Q76" i="4"/>
  <c r="P76" i="4"/>
  <c r="O76" i="4"/>
  <c r="N76" i="4"/>
  <c r="M76" i="4"/>
  <c r="L76" i="4"/>
  <c r="U75" i="4"/>
  <c r="T75" i="4"/>
  <c r="S75" i="4"/>
  <c r="R75" i="4"/>
  <c r="Q75" i="4"/>
  <c r="P75" i="4"/>
  <c r="O75" i="4"/>
  <c r="N75" i="4"/>
  <c r="M75" i="4"/>
  <c r="L75" i="4"/>
  <c r="U74" i="4"/>
  <c r="T74" i="4"/>
  <c r="S74" i="4"/>
  <c r="R74" i="4"/>
  <c r="Q74" i="4"/>
  <c r="P74" i="4"/>
  <c r="O74" i="4"/>
  <c r="N74" i="4"/>
  <c r="M74" i="4"/>
  <c r="L74" i="4"/>
  <c r="U73" i="4"/>
  <c r="T73" i="4"/>
  <c r="S73" i="4"/>
  <c r="R73" i="4"/>
  <c r="Q73" i="4"/>
  <c r="P73" i="4"/>
  <c r="O73" i="4"/>
  <c r="N73" i="4"/>
  <c r="M73" i="4"/>
  <c r="L73" i="4"/>
  <c r="U72" i="4"/>
  <c r="T72" i="4"/>
  <c r="S72" i="4"/>
  <c r="R72" i="4"/>
  <c r="Q72" i="4"/>
  <c r="P72" i="4"/>
  <c r="O72" i="4"/>
  <c r="N72" i="4"/>
  <c r="M72" i="4"/>
  <c r="L72" i="4"/>
  <c r="U71" i="4"/>
  <c r="T71" i="4"/>
  <c r="S71" i="4"/>
  <c r="R71" i="4"/>
  <c r="Q71" i="4"/>
  <c r="P71" i="4"/>
  <c r="O71" i="4"/>
  <c r="N71" i="4"/>
  <c r="M71" i="4"/>
  <c r="L71" i="4"/>
  <c r="U70" i="4"/>
  <c r="T70" i="4"/>
  <c r="S70" i="4"/>
  <c r="R70" i="4"/>
  <c r="Q70" i="4"/>
  <c r="P70" i="4"/>
  <c r="O70" i="4"/>
  <c r="N70" i="4"/>
  <c r="M70" i="4"/>
  <c r="L70" i="4"/>
  <c r="U69" i="4"/>
  <c r="T69" i="4"/>
  <c r="S69" i="4"/>
  <c r="R69" i="4"/>
  <c r="Q69" i="4"/>
  <c r="P69" i="4"/>
  <c r="O69" i="4"/>
  <c r="N69" i="4"/>
  <c r="M69" i="4"/>
  <c r="L69" i="4"/>
  <c r="U68" i="4"/>
  <c r="T68" i="4"/>
  <c r="S68" i="4"/>
  <c r="R68" i="4"/>
  <c r="Q68" i="4"/>
  <c r="P68" i="4"/>
  <c r="O68" i="4"/>
  <c r="N68" i="4"/>
  <c r="M68" i="4"/>
  <c r="L68" i="4"/>
  <c r="U67" i="4"/>
  <c r="T67" i="4"/>
  <c r="S67" i="4"/>
  <c r="R67" i="4"/>
  <c r="Q67" i="4"/>
  <c r="P67" i="4"/>
  <c r="O67" i="4"/>
  <c r="N67" i="4"/>
  <c r="M67" i="4"/>
  <c r="L67" i="4"/>
  <c r="U66" i="4"/>
  <c r="T66" i="4"/>
  <c r="S66" i="4"/>
  <c r="R66" i="4"/>
  <c r="Q66" i="4"/>
  <c r="P66" i="4"/>
  <c r="O66" i="4"/>
  <c r="N66" i="4"/>
  <c r="M66" i="4"/>
  <c r="L66" i="4"/>
  <c r="U65" i="4"/>
  <c r="T65" i="4"/>
  <c r="S65" i="4"/>
  <c r="R65" i="4"/>
  <c r="Q65" i="4"/>
  <c r="P65" i="4"/>
  <c r="O65" i="4"/>
  <c r="N65" i="4"/>
  <c r="M65" i="4"/>
  <c r="L65" i="4"/>
  <c r="U64" i="4"/>
  <c r="T64" i="4"/>
  <c r="S64" i="4"/>
  <c r="R64" i="4"/>
  <c r="Q64" i="4"/>
  <c r="P64" i="4"/>
  <c r="O64" i="4"/>
  <c r="N64" i="4"/>
  <c r="M64" i="4"/>
  <c r="L64" i="4"/>
  <c r="U63" i="4"/>
  <c r="T63" i="4"/>
  <c r="S63" i="4"/>
  <c r="R63" i="4"/>
  <c r="Q63" i="4"/>
  <c r="P63" i="4"/>
  <c r="O63" i="4"/>
  <c r="N63" i="4"/>
  <c r="M63" i="4"/>
  <c r="L63" i="4"/>
  <c r="U62" i="4"/>
  <c r="T62" i="4"/>
  <c r="S62" i="4"/>
  <c r="R62" i="4"/>
  <c r="Q62" i="4"/>
  <c r="P62" i="4"/>
  <c r="O62" i="4"/>
  <c r="N62" i="4"/>
  <c r="M62" i="4"/>
  <c r="L62" i="4"/>
  <c r="U61" i="4"/>
  <c r="T61" i="4"/>
  <c r="S61" i="4"/>
  <c r="R61" i="4"/>
  <c r="Q61" i="4"/>
  <c r="P61" i="4"/>
  <c r="O61" i="4"/>
  <c r="N61" i="4"/>
  <c r="M61" i="4"/>
  <c r="L61" i="4"/>
  <c r="U60" i="4"/>
  <c r="T60" i="4"/>
  <c r="S60" i="4"/>
  <c r="R60" i="4"/>
  <c r="Q60" i="4"/>
  <c r="P60" i="4"/>
  <c r="O60" i="4"/>
  <c r="N60" i="4"/>
  <c r="M60" i="4"/>
  <c r="L60" i="4"/>
  <c r="U59" i="4"/>
  <c r="T59" i="4"/>
  <c r="S59" i="4"/>
  <c r="R59" i="4"/>
  <c r="Q59" i="4"/>
  <c r="P59" i="4"/>
  <c r="O59" i="4"/>
  <c r="N59" i="4"/>
  <c r="M59" i="4"/>
  <c r="L59" i="4"/>
  <c r="U58" i="4"/>
  <c r="T58" i="4"/>
  <c r="S58" i="4"/>
  <c r="R58" i="4"/>
  <c r="Q58" i="4"/>
  <c r="P58" i="4"/>
  <c r="O58" i="4"/>
  <c r="N58" i="4"/>
  <c r="M58" i="4"/>
  <c r="L58" i="4"/>
  <c r="U57" i="4"/>
  <c r="T57" i="4"/>
  <c r="S57" i="4"/>
  <c r="R57" i="4"/>
  <c r="Q57" i="4"/>
  <c r="P57" i="4"/>
  <c r="O57" i="4"/>
  <c r="N57" i="4"/>
  <c r="M57" i="4"/>
  <c r="L57" i="4"/>
  <c r="U56" i="4"/>
  <c r="T56" i="4"/>
  <c r="S56" i="4"/>
  <c r="R56" i="4"/>
  <c r="Q56" i="4"/>
  <c r="P56" i="4"/>
  <c r="O56" i="4"/>
  <c r="N56" i="4"/>
  <c r="M56" i="4"/>
  <c r="L56" i="4"/>
  <c r="U55" i="4"/>
  <c r="T55" i="4"/>
  <c r="S55" i="4"/>
  <c r="R55" i="4"/>
  <c r="Q55" i="4"/>
  <c r="P55" i="4"/>
  <c r="O55" i="4"/>
  <c r="N55" i="4"/>
  <c r="M55" i="4"/>
  <c r="L55" i="4"/>
  <c r="U54" i="4"/>
  <c r="T54" i="4"/>
  <c r="S54" i="4"/>
  <c r="R54" i="4"/>
  <c r="Q54" i="4"/>
  <c r="P54" i="4"/>
  <c r="O54" i="4"/>
  <c r="N54" i="4"/>
  <c r="M54" i="4"/>
  <c r="L54" i="4"/>
  <c r="U53" i="4"/>
  <c r="T53" i="4"/>
  <c r="S53" i="4"/>
  <c r="R53" i="4"/>
  <c r="Q53" i="4"/>
  <c r="P53" i="4"/>
  <c r="O53" i="4"/>
  <c r="N53" i="4"/>
  <c r="M53" i="4"/>
  <c r="L53" i="4"/>
  <c r="U52" i="4"/>
  <c r="T52" i="4"/>
  <c r="S52" i="4"/>
  <c r="R52" i="4"/>
  <c r="Q52" i="4"/>
  <c r="P52" i="4"/>
  <c r="O52" i="4"/>
  <c r="N52" i="4"/>
  <c r="M52" i="4"/>
  <c r="L52" i="4"/>
  <c r="U51" i="4"/>
  <c r="T51" i="4"/>
  <c r="S51" i="4"/>
  <c r="R51" i="4"/>
  <c r="Q51" i="4"/>
  <c r="P51" i="4"/>
  <c r="O51" i="4"/>
  <c r="N51" i="4"/>
  <c r="M51" i="4"/>
  <c r="L51" i="4"/>
  <c r="U50" i="4"/>
  <c r="T50" i="4"/>
  <c r="S50" i="4"/>
  <c r="R50" i="4"/>
  <c r="Q50" i="4"/>
  <c r="P50" i="4"/>
  <c r="O50" i="4"/>
  <c r="N50" i="4"/>
  <c r="M50" i="4"/>
  <c r="L50" i="4"/>
  <c r="U49" i="4"/>
  <c r="T49" i="4"/>
  <c r="S49" i="4"/>
  <c r="R49" i="4"/>
  <c r="Q49" i="4"/>
  <c r="P49" i="4"/>
  <c r="O49" i="4"/>
  <c r="N49" i="4"/>
  <c r="M49" i="4"/>
  <c r="L49" i="4"/>
  <c r="U48" i="4"/>
  <c r="T48" i="4"/>
  <c r="S48" i="4"/>
  <c r="R48" i="4"/>
  <c r="Q48" i="4"/>
  <c r="P48" i="4"/>
  <c r="O48" i="4"/>
  <c r="N48" i="4"/>
  <c r="M48" i="4"/>
  <c r="L48" i="4"/>
  <c r="U47" i="4"/>
  <c r="T47" i="4"/>
  <c r="S47" i="4"/>
  <c r="R47" i="4"/>
  <c r="Q47" i="4"/>
  <c r="P47" i="4"/>
  <c r="O47" i="4"/>
  <c r="N47" i="4"/>
  <c r="M47" i="4"/>
  <c r="L47" i="4"/>
  <c r="U46" i="4"/>
  <c r="T46" i="4"/>
  <c r="S46" i="4"/>
  <c r="R46" i="4"/>
  <c r="Q46" i="4"/>
  <c r="P46" i="4"/>
  <c r="O46" i="4"/>
  <c r="N46" i="4"/>
  <c r="M46" i="4"/>
  <c r="L46" i="4"/>
  <c r="U45" i="4"/>
  <c r="T45" i="4"/>
  <c r="S45" i="4"/>
  <c r="R45" i="4"/>
  <c r="Q45" i="4"/>
  <c r="P45" i="4"/>
  <c r="O45" i="4"/>
  <c r="N45" i="4"/>
  <c r="M45" i="4"/>
  <c r="L45" i="4"/>
  <c r="U44" i="4"/>
  <c r="T44" i="4"/>
  <c r="S44" i="4"/>
  <c r="R44" i="4"/>
  <c r="Q44" i="4"/>
  <c r="P44" i="4"/>
  <c r="O44" i="4"/>
  <c r="N44" i="4"/>
  <c r="M44" i="4"/>
  <c r="L44" i="4"/>
  <c r="U43" i="4"/>
  <c r="T43" i="4"/>
  <c r="S43" i="4"/>
  <c r="R43" i="4"/>
  <c r="Q43" i="4"/>
  <c r="P43" i="4"/>
  <c r="O43" i="4"/>
  <c r="N43" i="4"/>
  <c r="M43" i="4"/>
  <c r="L43" i="4"/>
  <c r="U42" i="4"/>
  <c r="T42" i="4"/>
  <c r="S42" i="4"/>
  <c r="R42" i="4"/>
  <c r="Q42" i="4"/>
  <c r="P42" i="4"/>
  <c r="O42" i="4"/>
  <c r="N42" i="4"/>
  <c r="M42" i="4"/>
  <c r="L42" i="4"/>
  <c r="U41" i="4"/>
  <c r="T41" i="4"/>
  <c r="S41" i="4"/>
  <c r="R41" i="4"/>
  <c r="Q41" i="4"/>
  <c r="P41" i="4"/>
  <c r="O41" i="4"/>
  <c r="N41" i="4"/>
  <c r="M41" i="4"/>
  <c r="L41" i="4"/>
  <c r="U40" i="4"/>
  <c r="T40" i="4"/>
  <c r="S40" i="4"/>
  <c r="R40" i="4"/>
  <c r="Q40" i="4"/>
  <c r="P40" i="4"/>
  <c r="O40" i="4"/>
  <c r="N40" i="4"/>
  <c r="M40" i="4"/>
  <c r="L40" i="4"/>
  <c r="U39" i="4"/>
  <c r="T39" i="4"/>
  <c r="S39" i="4"/>
  <c r="R39" i="4"/>
  <c r="Q39" i="4"/>
  <c r="P39" i="4"/>
  <c r="O39" i="4"/>
  <c r="N39" i="4"/>
  <c r="M39" i="4"/>
  <c r="L39" i="4"/>
  <c r="U38" i="4"/>
  <c r="T38" i="4"/>
  <c r="S38" i="4"/>
  <c r="R38" i="4"/>
  <c r="Q38" i="4"/>
  <c r="P38" i="4"/>
  <c r="O38" i="4"/>
  <c r="N38" i="4"/>
  <c r="M38" i="4"/>
  <c r="L38" i="4"/>
  <c r="U37" i="4"/>
  <c r="T37" i="4"/>
  <c r="S37" i="4"/>
  <c r="R37" i="4"/>
  <c r="Q37" i="4"/>
  <c r="P37" i="4"/>
  <c r="O37" i="4"/>
  <c r="N37" i="4"/>
  <c r="M37" i="4"/>
  <c r="L37" i="4"/>
  <c r="U36" i="4"/>
  <c r="T36" i="4"/>
  <c r="S36" i="4"/>
  <c r="R36" i="4"/>
  <c r="Q36" i="4"/>
  <c r="P36" i="4"/>
  <c r="O36" i="4"/>
  <c r="N36" i="4"/>
  <c r="M36" i="4"/>
  <c r="L36" i="4"/>
  <c r="U35" i="4"/>
  <c r="T35" i="4"/>
  <c r="S35" i="4"/>
  <c r="R35" i="4"/>
  <c r="Q35" i="4"/>
  <c r="P35" i="4"/>
  <c r="O35" i="4"/>
  <c r="N35" i="4"/>
  <c r="M35" i="4"/>
  <c r="L35" i="4"/>
  <c r="U34" i="4"/>
  <c r="T34" i="4"/>
  <c r="S34" i="4"/>
  <c r="R34" i="4"/>
  <c r="Q34" i="4"/>
  <c r="P34" i="4"/>
  <c r="O34" i="4"/>
  <c r="N34" i="4"/>
  <c r="M34" i="4"/>
  <c r="L34" i="4"/>
  <c r="U33" i="4"/>
  <c r="T33" i="4"/>
  <c r="S33" i="4"/>
  <c r="R33" i="4"/>
  <c r="Q33" i="4"/>
  <c r="P33" i="4"/>
  <c r="O33" i="4"/>
  <c r="N33" i="4"/>
  <c r="M33" i="4"/>
  <c r="L33" i="4"/>
  <c r="U32" i="4"/>
  <c r="T32" i="4"/>
  <c r="S32" i="4"/>
  <c r="R32" i="4"/>
  <c r="Q32" i="4"/>
  <c r="P32" i="4"/>
  <c r="O32" i="4"/>
  <c r="N32" i="4"/>
  <c r="M32" i="4"/>
  <c r="L32" i="4"/>
  <c r="U31" i="4"/>
  <c r="T31" i="4"/>
  <c r="S31" i="4"/>
  <c r="R31" i="4"/>
  <c r="Q31" i="4"/>
  <c r="P31" i="4"/>
  <c r="O31" i="4"/>
  <c r="N31" i="4"/>
  <c r="M31" i="4"/>
  <c r="L31" i="4"/>
  <c r="U30" i="4"/>
  <c r="T30" i="4"/>
  <c r="S30" i="4"/>
  <c r="R30" i="4"/>
  <c r="Q30" i="4"/>
  <c r="P30" i="4"/>
  <c r="O30" i="4"/>
  <c r="N30" i="4"/>
  <c r="M30" i="4"/>
  <c r="L30" i="4"/>
  <c r="U29" i="4"/>
  <c r="T29" i="4"/>
  <c r="S29" i="4"/>
  <c r="R29" i="4"/>
  <c r="Q29" i="4"/>
  <c r="P29" i="4"/>
  <c r="O29" i="4"/>
  <c r="N29" i="4"/>
  <c r="M29" i="4"/>
  <c r="L29" i="4"/>
  <c r="U28" i="4"/>
  <c r="T28" i="4"/>
  <c r="S28" i="4"/>
  <c r="R28" i="4"/>
  <c r="Q28" i="4"/>
  <c r="P28" i="4"/>
  <c r="O28" i="4"/>
  <c r="N28" i="4"/>
  <c r="M28" i="4"/>
  <c r="L28" i="4"/>
  <c r="U27" i="4"/>
  <c r="T27" i="4"/>
  <c r="S27" i="4"/>
  <c r="R27" i="4"/>
  <c r="Q27" i="4"/>
  <c r="P27" i="4"/>
  <c r="O27" i="4"/>
  <c r="N27" i="4"/>
  <c r="M27" i="4"/>
  <c r="L27" i="4"/>
  <c r="U26" i="4"/>
  <c r="T26" i="4"/>
  <c r="S26" i="4"/>
  <c r="R26" i="4"/>
  <c r="Q26" i="4"/>
  <c r="P26" i="4"/>
  <c r="O26" i="4"/>
  <c r="N26" i="4"/>
  <c r="M26" i="4"/>
  <c r="L26" i="4"/>
  <c r="U25" i="4"/>
  <c r="T25" i="4"/>
  <c r="S25" i="4"/>
  <c r="R25" i="4"/>
  <c r="Q25" i="4"/>
  <c r="P25" i="4"/>
  <c r="O25" i="4"/>
  <c r="N25" i="4"/>
  <c r="M25" i="4"/>
  <c r="L25" i="4"/>
  <c r="U24" i="4"/>
  <c r="T24" i="4"/>
  <c r="S24" i="4"/>
  <c r="R24" i="4"/>
  <c r="Q24" i="4"/>
  <c r="P24" i="4"/>
  <c r="O24" i="4"/>
  <c r="N24" i="4"/>
  <c r="M24" i="4"/>
  <c r="L24" i="4"/>
  <c r="U23" i="4"/>
  <c r="T23" i="4"/>
  <c r="S23" i="4"/>
  <c r="R23" i="4"/>
  <c r="Q23" i="4"/>
  <c r="P23" i="4"/>
  <c r="O23" i="4"/>
  <c r="N23" i="4"/>
  <c r="M23" i="4"/>
  <c r="L23" i="4"/>
  <c r="U22" i="4"/>
  <c r="T22" i="4"/>
  <c r="S22" i="4"/>
  <c r="R22" i="4"/>
  <c r="Q22" i="4"/>
  <c r="P22" i="4"/>
  <c r="O22" i="4"/>
  <c r="N22" i="4"/>
  <c r="M22" i="4"/>
  <c r="L22" i="4"/>
  <c r="U21" i="4"/>
  <c r="T21" i="4"/>
  <c r="S21" i="4"/>
  <c r="R21" i="4"/>
  <c r="Q21" i="4"/>
  <c r="P21" i="4"/>
  <c r="O21" i="4"/>
  <c r="N21" i="4"/>
  <c r="M21" i="4"/>
  <c r="L21" i="4"/>
  <c r="U20" i="4"/>
  <c r="T20" i="4"/>
  <c r="S20" i="4"/>
  <c r="R20" i="4"/>
  <c r="Q20" i="4"/>
  <c r="P20" i="4"/>
  <c r="O20" i="4"/>
  <c r="N20" i="4"/>
  <c r="M20" i="4"/>
  <c r="L20" i="4"/>
  <c r="U19" i="4"/>
  <c r="T19" i="4"/>
  <c r="S19" i="4"/>
  <c r="R19" i="4"/>
  <c r="Q19" i="4"/>
  <c r="P19" i="4"/>
  <c r="O19" i="4"/>
  <c r="N19" i="4"/>
  <c r="M19" i="4"/>
  <c r="L19" i="4"/>
  <c r="U18" i="4"/>
  <c r="T18" i="4"/>
  <c r="S18" i="4"/>
  <c r="R18" i="4"/>
  <c r="Q18" i="4"/>
  <c r="P18" i="4"/>
  <c r="O18" i="4"/>
  <c r="N18" i="4"/>
  <c r="M18" i="4"/>
  <c r="L18" i="4"/>
  <c r="U17" i="4"/>
  <c r="T17" i="4"/>
  <c r="S17" i="4"/>
  <c r="R17" i="4"/>
  <c r="Q17" i="4"/>
  <c r="P17" i="4"/>
  <c r="O17" i="4"/>
  <c r="N17" i="4"/>
  <c r="M17" i="4"/>
  <c r="L17" i="4"/>
  <c r="U16" i="4"/>
  <c r="T16" i="4"/>
  <c r="S16" i="4"/>
  <c r="R16" i="4"/>
  <c r="Q16" i="4"/>
  <c r="P16" i="4"/>
  <c r="O16" i="4"/>
  <c r="N16" i="4"/>
  <c r="M16" i="4"/>
  <c r="L16" i="4"/>
  <c r="U15" i="4"/>
  <c r="T15" i="4"/>
  <c r="S15" i="4"/>
  <c r="R15" i="4"/>
  <c r="Q15" i="4"/>
  <c r="P15" i="4"/>
  <c r="O15" i="4"/>
  <c r="N15" i="4"/>
  <c r="M15" i="4"/>
  <c r="L15" i="4"/>
  <c r="U14" i="4"/>
  <c r="T14" i="4"/>
  <c r="S14" i="4"/>
  <c r="R14" i="4"/>
  <c r="Q14" i="4"/>
  <c r="P14" i="4"/>
  <c r="O14" i="4"/>
  <c r="N14" i="4"/>
  <c r="M14" i="4"/>
  <c r="L14" i="4"/>
  <c r="U13" i="4"/>
  <c r="T13" i="4"/>
  <c r="S13" i="4"/>
  <c r="R13" i="4"/>
  <c r="Q13" i="4"/>
  <c r="P13" i="4"/>
  <c r="O13" i="4"/>
  <c r="N13" i="4"/>
  <c r="M13" i="4"/>
  <c r="L13" i="4"/>
  <c r="U12" i="4"/>
  <c r="T12" i="4"/>
  <c r="S12" i="4"/>
  <c r="R12" i="4"/>
  <c r="Q12" i="4"/>
  <c r="P12" i="4"/>
  <c r="O12" i="4"/>
  <c r="N12" i="4"/>
  <c r="M12" i="4"/>
  <c r="L12" i="4"/>
  <c r="U11" i="4"/>
  <c r="T11" i="4"/>
  <c r="S11" i="4"/>
  <c r="R11" i="4"/>
  <c r="Q11" i="4"/>
  <c r="P11" i="4"/>
  <c r="O11" i="4"/>
  <c r="N11" i="4"/>
  <c r="M11" i="4"/>
  <c r="L11" i="4"/>
  <c r="U10" i="4"/>
  <c r="T10" i="4"/>
  <c r="S10" i="4"/>
  <c r="R10" i="4"/>
  <c r="Q10" i="4"/>
  <c r="P10" i="4"/>
  <c r="O10" i="4"/>
  <c r="N10" i="4"/>
  <c r="M10" i="4"/>
  <c r="L10" i="4"/>
  <c r="U9" i="4"/>
  <c r="T9" i="4"/>
  <c r="S9" i="4"/>
  <c r="R9" i="4"/>
  <c r="Q9" i="4"/>
  <c r="P9" i="4"/>
  <c r="O9" i="4"/>
  <c r="N9" i="4"/>
  <c r="M9" i="4"/>
  <c r="L9" i="4"/>
  <c r="U8" i="4"/>
  <c r="T8" i="4"/>
  <c r="S8" i="4"/>
  <c r="R8" i="4"/>
  <c r="Q8" i="4"/>
  <c r="P8" i="4"/>
  <c r="O8" i="4"/>
  <c r="N8" i="4"/>
  <c r="M8" i="4"/>
  <c r="L8" i="4"/>
  <c r="U7" i="4"/>
  <c r="T7" i="4"/>
  <c r="S7" i="4"/>
  <c r="R7" i="4"/>
  <c r="Q7" i="4"/>
  <c r="P7" i="4"/>
  <c r="O7" i="4"/>
  <c r="N7" i="4"/>
  <c r="M7" i="4"/>
  <c r="L7" i="4"/>
  <c r="U6" i="4"/>
  <c r="T6" i="4"/>
  <c r="S6" i="4"/>
  <c r="R6" i="4"/>
  <c r="Q6" i="4"/>
  <c r="P6" i="4"/>
  <c r="O6" i="4"/>
  <c r="N6" i="4"/>
  <c r="M6" i="4"/>
  <c r="L6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U2" i="4"/>
  <c r="T2" i="4"/>
  <c r="S2" i="4"/>
  <c r="R2" i="4"/>
  <c r="Q2" i="4"/>
  <c r="P2" i="4"/>
  <c r="O2" i="4"/>
  <c r="N2" i="4"/>
  <c r="M2" i="4"/>
  <c r="L2" i="4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K303" i="3"/>
  <c r="J303" i="3"/>
  <c r="I303" i="3"/>
  <c r="H303" i="3"/>
  <c r="G303" i="3"/>
  <c r="F303" i="3"/>
  <c r="E303" i="3"/>
  <c r="D303" i="3"/>
  <c r="C303" i="3"/>
  <c r="B304" i="3" a="1"/>
  <c r="B304" i="3" s="1"/>
  <c r="B303" i="3"/>
  <c r="K302" i="3"/>
  <c r="J302" i="3"/>
  <c r="I302" i="3"/>
  <c r="H302" i="3"/>
  <c r="G302" i="3"/>
  <c r="F302" i="3"/>
  <c r="E302" i="3"/>
  <c r="D302" i="3"/>
  <c r="C302" i="3"/>
  <c r="K301" i="3"/>
  <c r="J301" i="3"/>
  <c r="I301" i="3"/>
  <c r="H301" i="3"/>
  <c r="G301" i="3"/>
  <c r="F301" i="3"/>
  <c r="E301" i="3"/>
  <c r="D301" i="3"/>
  <c r="C301" i="3"/>
  <c r="B302" i="3"/>
  <c r="B301" i="3"/>
  <c r="U300" i="3"/>
  <c r="T300" i="3"/>
  <c r="S300" i="3"/>
  <c r="R300" i="3"/>
  <c r="Q300" i="3"/>
  <c r="P300" i="3"/>
  <c r="O300" i="3"/>
  <c r="N300" i="3"/>
  <c r="M300" i="3"/>
  <c r="L300" i="3"/>
  <c r="U299" i="3"/>
  <c r="T299" i="3"/>
  <c r="S299" i="3"/>
  <c r="R299" i="3"/>
  <c r="Q299" i="3"/>
  <c r="P299" i="3"/>
  <c r="O299" i="3"/>
  <c r="N299" i="3"/>
  <c r="M299" i="3"/>
  <c r="L299" i="3"/>
  <c r="U298" i="3"/>
  <c r="T298" i="3"/>
  <c r="S298" i="3"/>
  <c r="R298" i="3"/>
  <c r="Q298" i="3"/>
  <c r="P298" i="3"/>
  <c r="O298" i="3"/>
  <c r="N298" i="3"/>
  <c r="M298" i="3"/>
  <c r="L298" i="3"/>
  <c r="U297" i="3"/>
  <c r="T297" i="3"/>
  <c r="S297" i="3"/>
  <c r="R297" i="3"/>
  <c r="Q297" i="3"/>
  <c r="P297" i="3"/>
  <c r="O297" i="3"/>
  <c r="N297" i="3"/>
  <c r="M297" i="3"/>
  <c r="L297" i="3"/>
  <c r="U296" i="3"/>
  <c r="T296" i="3"/>
  <c r="S296" i="3"/>
  <c r="R296" i="3"/>
  <c r="Q296" i="3"/>
  <c r="P296" i="3"/>
  <c r="O296" i="3"/>
  <c r="N296" i="3"/>
  <c r="M296" i="3"/>
  <c r="L296" i="3"/>
  <c r="U295" i="3"/>
  <c r="T295" i="3"/>
  <c r="S295" i="3"/>
  <c r="R295" i="3"/>
  <c r="Q295" i="3"/>
  <c r="P295" i="3"/>
  <c r="O295" i="3"/>
  <c r="N295" i="3"/>
  <c r="M295" i="3"/>
  <c r="L295" i="3"/>
  <c r="U294" i="3"/>
  <c r="T294" i="3"/>
  <c r="S294" i="3"/>
  <c r="R294" i="3"/>
  <c r="Q294" i="3"/>
  <c r="P294" i="3"/>
  <c r="O294" i="3"/>
  <c r="N294" i="3"/>
  <c r="M294" i="3"/>
  <c r="L294" i="3"/>
  <c r="U293" i="3"/>
  <c r="T293" i="3"/>
  <c r="S293" i="3"/>
  <c r="R293" i="3"/>
  <c r="Q293" i="3"/>
  <c r="P293" i="3"/>
  <c r="O293" i="3"/>
  <c r="N293" i="3"/>
  <c r="M293" i="3"/>
  <c r="L293" i="3"/>
  <c r="U292" i="3"/>
  <c r="T292" i="3"/>
  <c r="S292" i="3"/>
  <c r="R292" i="3"/>
  <c r="Q292" i="3"/>
  <c r="P292" i="3"/>
  <c r="O292" i="3"/>
  <c r="N292" i="3"/>
  <c r="M292" i="3"/>
  <c r="L292" i="3"/>
  <c r="U291" i="3"/>
  <c r="T291" i="3"/>
  <c r="S291" i="3"/>
  <c r="R291" i="3"/>
  <c r="Q291" i="3"/>
  <c r="P291" i="3"/>
  <c r="O291" i="3"/>
  <c r="N291" i="3"/>
  <c r="M291" i="3"/>
  <c r="L291" i="3"/>
  <c r="U290" i="3"/>
  <c r="T290" i="3"/>
  <c r="S290" i="3"/>
  <c r="R290" i="3"/>
  <c r="Q290" i="3"/>
  <c r="P290" i="3"/>
  <c r="O290" i="3"/>
  <c r="N290" i="3"/>
  <c r="M290" i="3"/>
  <c r="L290" i="3"/>
  <c r="U289" i="3"/>
  <c r="T289" i="3"/>
  <c r="S289" i="3"/>
  <c r="R289" i="3"/>
  <c r="Q289" i="3"/>
  <c r="P289" i="3"/>
  <c r="O289" i="3"/>
  <c r="N289" i="3"/>
  <c r="M289" i="3"/>
  <c r="L289" i="3"/>
  <c r="U288" i="3"/>
  <c r="T288" i="3"/>
  <c r="S288" i="3"/>
  <c r="R288" i="3"/>
  <c r="Q288" i="3"/>
  <c r="P288" i="3"/>
  <c r="O288" i="3"/>
  <c r="N288" i="3"/>
  <c r="M288" i="3"/>
  <c r="L288" i="3"/>
  <c r="U287" i="3"/>
  <c r="T287" i="3"/>
  <c r="S287" i="3"/>
  <c r="R287" i="3"/>
  <c r="Q287" i="3"/>
  <c r="P287" i="3"/>
  <c r="O287" i="3"/>
  <c r="N287" i="3"/>
  <c r="M287" i="3"/>
  <c r="L287" i="3"/>
  <c r="U286" i="3"/>
  <c r="T286" i="3"/>
  <c r="S286" i="3"/>
  <c r="R286" i="3"/>
  <c r="Q286" i="3"/>
  <c r="P286" i="3"/>
  <c r="O286" i="3"/>
  <c r="N286" i="3"/>
  <c r="M286" i="3"/>
  <c r="L286" i="3"/>
  <c r="U285" i="3"/>
  <c r="T285" i="3"/>
  <c r="S285" i="3"/>
  <c r="R285" i="3"/>
  <c r="Q285" i="3"/>
  <c r="P285" i="3"/>
  <c r="O285" i="3"/>
  <c r="N285" i="3"/>
  <c r="M285" i="3"/>
  <c r="L285" i="3"/>
  <c r="U284" i="3"/>
  <c r="T284" i="3"/>
  <c r="S284" i="3"/>
  <c r="R284" i="3"/>
  <c r="Q284" i="3"/>
  <c r="P284" i="3"/>
  <c r="O284" i="3"/>
  <c r="N284" i="3"/>
  <c r="M284" i="3"/>
  <c r="L284" i="3"/>
  <c r="U283" i="3"/>
  <c r="T283" i="3"/>
  <c r="S283" i="3"/>
  <c r="R283" i="3"/>
  <c r="Q283" i="3"/>
  <c r="P283" i="3"/>
  <c r="O283" i="3"/>
  <c r="N283" i="3"/>
  <c r="M283" i="3"/>
  <c r="L283" i="3"/>
  <c r="U282" i="3"/>
  <c r="T282" i="3"/>
  <c r="S282" i="3"/>
  <c r="R282" i="3"/>
  <c r="Q282" i="3"/>
  <c r="P282" i="3"/>
  <c r="O282" i="3"/>
  <c r="N282" i="3"/>
  <c r="M282" i="3"/>
  <c r="L282" i="3"/>
  <c r="U281" i="3"/>
  <c r="T281" i="3"/>
  <c r="S281" i="3"/>
  <c r="R281" i="3"/>
  <c r="Q281" i="3"/>
  <c r="P281" i="3"/>
  <c r="O281" i="3"/>
  <c r="N281" i="3"/>
  <c r="M281" i="3"/>
  <c r="L281" i="3"/>
  <c r="U280" i="3"/>
  <c r="T280" i="3"/>
  <c r="S280" i="3"/>
  <c r="R280" i="3"/>
  <c r="Q280" i="3"/>
  <c r="P280" i="3"/>
  <c r="O280" i="3"/>
  <c r="N280" i="3"/>
  <c r="M280" i="3"/>
  <c r="L280" i="3"/>
  <c r="U279" i="3"/>
  <c r="T279" i="3"/>
  <c r="S279" i="3"/>
  <c r="R279" i="3"/>
  <c r="Q279" i="3"/>
  <c r="P279" i="3"/>
  <c r="O279" i="3"/>
  <c r="N279" i="3"/>
  <c r="M279" i="3"/>
  <c r="L279" i="3"/>
  <c r="U278" i="3"/>
  <c r="T278" i="3"/>
  <c r="S278" i="3"/>
  <c r="R278" i="3"/>
  <c r="Q278" i="3"/>
  <c r="P278" i="3"/>
  <c r="O278" i="3"/>
  <c r="N278" i="3"/>
  <c r="M278" i="3"/>
  <c r="L278" i="3"/>
  <c r="U277" i="3"/>
  <c r="T277" i="3"/>
  <c r="S277" i="3"/>
  <c r="R277" i="3"/>
  <c r="Q277" i="3"/>
  <c r="P277" i="3"/>
  <c r="O277" i="3"/>
  <c r="N277" i="3"/>
  <c r="M277" i="3"/>
  <c r="L277" i="3"/>
  <c r="U276" i="3"/>
  <c r="T276" i="3"/>
  <c r="S276" i="3"/>
  <c r="R276" i="3"/>
  <c r="Q276" i="3"/>
  <c r="P276" i="3"/>
  <c r="O276" i="3"/>
  <c r="N276" i="3"/>
  <c r="M276" i="3"/>
  <c r="L276" i="3"/>
  <c r="U275" i="3"/>
  <c r="T275" i="3"/>
  <c r="S275" i="3"/>
  <c r="R275" i="3"/>
  <c r="Q275" i="3"/>
  <c r="P275" i="3"/>
  <c r="O275" i="3"/>
  <c r="N275" i="3"/>
  <c r="M275" i="3"/>
  <c r="L275" i="3"/>
  <c r="U274" i="3"/>
  <c r="T274" i="3"/>
  <c r="S274" i="3"/>
  <c r="R274" i="3"/>
  <c r="Q274" i="3"/>
  <c r="P274" i="3"/>
  <c r="O274" i="3"/>
  <c r="N274" i="3"/>
  <c r="M274" i="3"/>
  <c r="L274" i="3"/>
  <c r="U273" i="3"/>
  <c r="T273" i="3"/>
  <c r="S273" i="3"/>
  <c r="R273" i="3"/>
  <c r="Q273" i="3"/>
  <c r="P273" i="3"/>
  <c r="O273" i="3"/>
  <c r="N273" i="3"/>
  <c r="M273" i="3"/>
  <c r="L273" i="3"/>
  <c r="U272" i="3"/>
  <c r="T272" i="3"/>
  <c r="S272" i="3"/>
  <c r="R272" i="3"/>
  <c r="Q272" i="3"/>
  <c r="P272" i="3"/>
  <c r="O272" i="3"/>
  <c r="N272" i="3"/>
  <c r="M272" i="3"/>
  <c r="L272" i="3"/>
  <c r="U271" i="3"/>
  <c r="T271" i="3"/>
  <c r="S271" i="3"/>
  <c r="R271" i="3"/>
  <c r="Q271" i="3"/>
  <c r="P271" i="3"/>
  <c r="O271" i="3"/>
  <c r="N271" i="3"/>
  <c r="M271" i="3"/>
  <c r="L271" i="3"/>
  <c r="U270" i="3"/>
  <c r="T270" i="3"/>
  <c r="S270" i="3"/>
  <c r="R270" i="3"/>
  <c r="Q270" i="3"/>
  <c r="P270" i="3"/>
  <c r="O270" i="3"/>
  <c r="N270" i="3"/>
  <c r="M270" i="3"/>
  <c r="L270" i="3"/>
  <c r="U269" i="3"/>
  <c r="T269" i="3"/>
  <c r="S269" i="3"/>
  <c r="R269" i="3"/>
  <c r="Q269" i="3"/>
  <c r="P269" i="3"/>
  <c r="O269" i="3"/>
  <c r="N269" i="3"/>
  <c r="M269" i="3"/>
  <c r="L269" i="3"/>
  <c r="U268" i="3"/>
  <c r="T268" i="3"/>
  <c r="S268" i="3"/>
  <c r="R268" i="3"/>
  <c r="Q268" i="3"/>
  <c r="P268" i="3"/>
  <c r="O268" i="3"/>
  <c r="N268" i="3"/>
  <c r="M268" i="3"/>
  <c r="L268" i="3"/>
  <c r="U267" i="3"/>
  <c r="T267" i="3"/>
  <c r="S267" i="3"/>
  <c r="R267" i="3"/>
  <c r="Q267" i="3"/>
  <c r="P267" i="3"/>
  <c r="O267" i="3"/>
  <c r="N267" i="3"/>
  <c r="M267" i="3"/>
  <c r="L267" i="3"/>
  <c r="U266" i="3"/>
  <c r="T266" i="3"/>
  <c r="S266" i="3"/>
  <c r="R266" i="3"/>
  <c r="Q266" i="3"/>
  <c r="P266" i="3"/>
  <c r="O266" i="3"/>
  <c r="N266" i="3"/>
  <c r="M266" i="3"/>
  <c r="L266" i="3"/>
  <c r="U265" i="3"/>
  <c r="T265" i="3"/>
  <c r="S265" i="3"/>
  <c r="R265" i="3"/>
  <c r="Q265" i="3"/>
  <c r="P265" i="3"/>
  <c r="O265" i="3"/>
  <c r="N265" i="3"/>
  <c r="M265" i="3"/>
  <c r="L265" i="3"/>
  <c r="U264" i="3"/>
  <c r="T264" i="3"/>
  <c r="S264" i="3"/>
  <c r="R264" i="3"/>
  <c r="Q264" i="3"/>
  <c r="P264" i="3"/>
  <c r="O264" i="3"/>
  <c r="N264" i="3"/>
  <c r="M264" i="3"/>
  <c r="L264" i="3"/>
  <c r="U263" i="3"/>
  <c r="T263" i="3"/>
  <c r="S263" i="3"/>
  <c r="R263" i="3"/>
  <c r="Q263" i="3"/>
  <c r="P263" i="3"/>
  <c r="O263" i="3"/>
  <c r="N263" i="3"/>
  <c r="M263" i="3"/>
  <c r="L263" i="3"/>
  <c r="U262" i="3"/>
  <c r="T262" i="3"/>
  <c r="S262" i="3"/>
  <c r="R262" i="3"/>
  <c r="Q262" i="3"/>
  <c r="P262" i="3"/>
  <c r="O262" i="3"/>
  <c r="N262" i="3"/>
  <c r="M262" i="3"/>
  <c r="L262" i="3"/>
  <c r="U261" i="3"/>
  <c r="T261" i="3"/>
  <c r="S261" i="3"/>
  <c r="R261" i="3"/>
  <c r="Q261" i="3"/>
  <c r="P261" i="3"/>
  <c r="O261" i="3"/>
  <c r="N261" i="3"/>
  <c r="M261" i="3"/>
  <c r="L261" i="3"/>
  <c r="U260" i="3"/>
  <c r="T260" i="3"/>
  <c r="S260" i="3"/>
  <c r="R260" i="3"/>
  <c r="Q260" i="3"/>
  <c r="P260" i="3"/>
  <c r="O260" i="3"/>
  <c r="N260" i="3"/>
  <c r="M260" i="3"/>
  <c r="L260" i="3"/>
  <c r="U259" i="3"/>
  <c r="T259" i="3"/>
  <c r="S259" i="3"/>
  <c r="R259" i="3"/>
  <c r="Q259" i="3"/>
  <c r="P259" i="3"/>
  <c r="O259" i="3"/>
  <c r="N259" i="3"/>
  <c r="M259" i="3"/>
  <c r="L259" i="3"/>
  <c r="U258" i="3"/>
  <c r="T258" i="3"/>
  <c r="S258" i="3"/>
  <c r="R258" i="3"/>
  <c r="Q258" i="3"/>
  <c r="P258" i="3"/>
  <c r="O258" i="3"/>
  <c r="N258" i="3"/>
  <c r="M258" i="3"/>
  <c r="L258" i="3"/>
  <c r="U257" i="3"/>
  <c r="T257" i="3"/>
  <c r="S257" i="3"/>
  <c r="R257" i="3"/>
  <c r="Q257" i="3"/>
  <c r="P257" i="3"/>
  <c r="O257" i="3"/>
  <c r="N257" i="3"/>
  <c r="M257" i="3"/>
  <c r="L257" i="3"/>
  <c r="U256" i="3"/>
  <c r="T256" i="3"/>
  <c r="S256" i="3"/>
  <c r="R256" i="3"/>
  <c r="Q256" i="3"/>
  <c r="P256" i="3"/>
  <c r="O256" i="3"/>
  <c r="N256" i="3"/>
  <c r="M256" i="3"/>
  <c r="L256" i="3"/>
  <c r="U255" i="3"/>
  <c r="T255" i="3"/>
  <c r="S255" i="3"/>
  <c r="R255" i="3"/>
  <c r="Q255" i="3"/>
  <c r="P255" i="3"/>
  <c r="O255" i="3"/>
  <c r="N255" i="3"/>
  <c r="M255" i="3"/>
  <c r="L255" i="3"/>
  <c r="U254" i="3"/>
  <c r="T254" i="3"/>
  <c r="S254" i="3"/>
  <c r="R254" i="3"/>
  <c r="Q254" i="3"/>
  <c r="P254" i="3"/>
  <c r="O254" i="3"/>
  <c r="N254" i="3"/>
  <c r="M254" i="3"/>
  <c r="L254" i="3"/>
  <c r="U253" i="3"/>
  <c r="T253" i="3"/>
  <c r="S253" i="3"/>
  <c r="R253" i="3"/>
  <c r="Q253" i="3"/>
  <c r="P253" i="3"/>
  <c r="O253" i="3"/>
  <c r="N253" i="3"/>
  <c r="M253" i="3"/>
  <c r="L253" i="3"/>
  <c r="U252" i="3"/>
  <c r="T252" i="3"/>
  <c r="S252" i="3"/>
  <c r="R252" i="3"/>
  <c r="Q252" i="3"/>
  <c r="P252" i="3"/>
  <c r="O252" i="3"/>
  <c r="N252" i="3"/>
  <c r="M252" i="3"/>
  <c r="L252" i="3"/>
  <c r="U251" i="3"/>
  <c r="T251" i="3"/>
  <c r="S251" i="3"/>
  <c r="R251" i="3"/>
  <c r="Q251" i="3"/>
  <c r="P251" i="3"/>
  <c r="O251" i="3"/>
  <c r="N251" i="3"/>
  <c r="M251" i="3"/>
  <c r="L251" i="3"/>
  <c r="U250" i="3"/>
  <c r="T250" i="3"/>
  <c r="S250" i="3"/>
  <c r="R250" i="3"/>
  <c r="Q250" i="3"/>
  <c r="P250" i="3"/>
  <c r="O250" i="3"/>
  <c r="N250" i="3"/>
  <c r="M250" i="3"/>
  <c r="L250" i="3"/>
  <c r="U249" i="3"/>
  <c r="T249" i="3"/>
  <c r="S249" i="3"/>
  <c r="R249" i="3"/>
  <c r="Q249" i="3"/>
  <c r="P249" i="3"/>
  <c r="O249" i="3"/>
  <c r="N249" i="3"/>
  <c r="M249" i="3"/>
  <c r="L249" i="3"/>
  <c r="U248" i="3"/>
  <c r="T248" i="3"/>
  <c r="S248" i="3"/>
  <c r="R248" i="3"/>
  <c r="Q248" i="3"/>
  <c r="P248" i="3"/>
  <c r="O248" i="3"/>
  <c r="N248" i="3"/>
  <c r="M248" i="3"/>
  <c r="L248" i="3"/>
  <c r="U247" i="3"/>
  <c r="T247" i="3"/>
  <c r="S247" i="3"/>
  <c r="R247" i="3"/>
  <c r="Q247" i="3"/>
  <c r="P247" i="3"/>
  <c r="O247" i="3"/>
  <c r="N247" i="3"/>
  <c r="M247" i="3"/>
  <c r="L247" i="3"/>
  <c r="U246" i="3"/>
  <c r="T246" i="3"/>
  <c r="S246" i="3"/>
  <c r="R246" i="3"/>
  <c r="Q246" i="3"/>
  <c r="P246" i="3"/>
  <c r="O246" i="3"/>
  <c r="N246" i="3"/>
  <c r="M246" i="3"/>
  <c r="L246" i="3"/>
  <c r="U245" i="3"/>
  <c r="T245" i="3"/>
  <c r="S245" i="3"/>
  <c r="R245" i="3"/>
  <c r="Q245" i="3"/>
  <c r="P245" i="3"/>
  <c r="O245" i="3"/>
  <c r="N245" i="3"/>
  <c r="M245" i="3"/>
  <c r="L245" i="3"/>
  <c r="U244" i="3"/>
  <c r="T244" i="3"/>
  <c r="S244" i="3"/>
  <c r="R244" i="3"/>
  <c r="Q244" i="3"/>
  <c r="P244" i="3"/>
  <c r="O244" i="3"/>
  <c r="N244" i="3"/>
  <c r="M244" i="3"/>
  <c r="L244" i="3"/>
  <c r="U243" i="3"/>
  <c r="T243" i="3"/>
  <c r="S243" i="3"/>
  <c r="R243" i="3"/>
  <c r="Q243" i="3"/>
  <c r="P243" i="3"/>
  <c r="O243" i="3"/>
  <c r="N243" i="3"/>
  <c r="M243" i="3"/>
  <c r="L243" i="3"/>
  <c r="U242" i="3"/>
  <c r="T242" i="3"/>
  <c r="S242" i="3"/>
  <c r="R242" i="3"/>
  <c r="Q242" i="3"/>
  <c r="P242" i="3"/>
  <c r="O242" i="3"/>
  <c r="N242" i="3"/>
  <c r="M242" i="3"/>
  <c r="L242" i="3"/>
  <c r="U241" i="3"/>
  <c r="T241" i="3"/>
  <c r="S241" i="3"/>
  <c r="R241" i="3"/>
  <c r="Q241" i="3"/>
  <c r="P241" i="3"/>
  <c r="O241" i="3"/>
  <c r="N241" i="3"/>
  <c r="M241" i="3"/>
  <c r="L241" i="3"/>
  <c r="U240" i="3"/>
  <c r="T240" i="3"/>
  <c r="S240" i="3"/>
  <c r="R240" i="3"/>
  <c r="Q240" i="3"/>
  <c r="P240" i="3"/>
  <c r="O240" i="3"/>
  <c r="N240" i="3"/>
  <c r="M240" i="3"/>
  <c r="L240" i="3"/>
  <c r="U239" i="3"/>
  <c r="T239" i="3"/>
  <c r="S239" i="3"/>
  <c r="R239" i="3"/>
  <c r="Q239" i="3"/>
  <c r="P239" i="3"/>
  <c r="O239" i="3"/>
  <c r="N239" i="3"/>
  <c r="M239" i="3"/>
  <c r="L239" i="3"/>
  <c r="U238" i="3"/>
  <c r="T238" i="3"/>
  <c r="S238" i="3"/>
  <c r="R238" i="3"/>
  <c r="Q238" i="3"/>
  <c r="P238" i="3"/>
  <c r="O238" i="3"/>
  <c r="N238" i="3"/>
  <c r="M238" i="3"/>
  <c r="L238" i="3"/>
  <c r="U237" i="3"/>
  <c r="T237" i="3"/>
  <c r="S237" i="3"/>
  <c r="R237" i="3"/>
  <c r="Q237" i="3"/>
  <c r="P237" i="3"/>
  <c r="O237" i="3"/>
  <c r="N237" i="3"/>
  <c r="M237" i="3"/>
  <c r="L237" i="3"/>
  <c r="U236" i="3"/>
  <c r="T236" i="3"/>
  <c r="S236" i="3"/>
  <c r="R236" i="3"/>
  <c r="Q236" i="3"/>
  <c r="P236" i="3"/>
  <c r="O236" i="3"/>
  <c r="N236" i="3"/>
  <c r="M236" i="3"/>
  <c r="L236" i="3"/>
  <c r="U235" i="3"/>
  <c r="T235" i="3"/>
  <c r="S235" i="3"/>
  <c r="R235" i="3"/>
  <c r="Q235" i="3"/>
  <c r="P235" i="3"/>
  <c r="O235" i="3"/>
  <c r="N235" i="3"/>
  <c r="M235" i="3"/>
  <c r="L235" i="3"/>
  <c r="U234" i="3"/>
  <c r="T234" i="3"/>
  <c r="S234" i="3"/>
  <c r="R234" i="3"/>
  <c r="Q234" i="3"/>
  <c r="P234" i="3"/>
  <c r="O234" i="3"/>
  <c r="N234" i="3"/>
  <c r="M234" i="3"/>
  <c r="L234" i="3"/>
  <c r="U233" i="3"/>
  <c r="T233" i="3"/>
  <c r="S233" i="3"/>
  <c r="R233" i="3"/>
  <c r="Q233" i="3"/>
  <c r="P233" i="3"/>
  <c r="O233" i="3"/>
  <c r="N233" i="3"/>
  <c r="M233" i="3"/>
  <c r="L233" i="3"/>
  <c r="U232" i="3"/>
  <c r="T232" i="3"/>
  <c r="S232" i="3"/>
  <c r="R232" i="3"/>
  <c r="Q232" i="3"/>
  <c r="P232" i="3"/>
  <c r="O232" i="3"/>
  <c r="N232" i="3"/>
  <c r="M232" i="3"/>
  <c r="L232" i="3"/>
  <c r="U231" i="3"/>
  <c r="T231" i="3"/>
  <c r="S231" i="3"/>
  <c r="R231" i="3"/>
  <c r="Q231" i="3"/>
  <c r="P231" i="3"/>
  <c r="O231" i="3"/>
  <c r="N231" i="3"/>
  <c r="M231" i="3"/>
  <c r="L231" i="3"/>
  <c r="U230" i="3"/>
  <c r="T230" i="3"/>
  <c r="S230" i="3"/>
  <c r="R230" i="3"/>
  <c r="Q230" i="3"/>
  <c r="P230" i="3"/>
  <c r="O230" i="3"/>
  <c r="N230" i="3"/>
  <c r="M230" i="3"/>
  <c r="L230" i="3"/>
  <c r="U229" i="3"/>
  <c r="T229" i="3"/>
  <c r="S229" i="3"/>
  <c r="R229" i="3"/>
  <c r="Q229" i="3"/>
  <c r="P229" i="3"/>
  <c r="O229" i="3"/>
  <c r="N229" i="3"/>
  <c r="M229" i="3"/>
  <c r="L229" i="3"/>
  <c r="U228" i="3"/>
  <c r="T228" i="3"/>
  <c r="S228" i="3"/>
  <c r="R228" i="3"/>
  <c r="Q228" i="3"/>
  <c r="P228" i="3"/>
  <c r="O228" i="3"/>
  <c r="N228" i="3"/>
  <c r="M228" i="3"/>
  <c r="L228" i="3"/>
  <c r="U227" i="3"/>
  <c r="T227" i="3"/>
  <c r="S227" i="3"/>
  <c r="R227" i="3"/>
  <c r="Q227" i="3"/>
  <c r="P227" i="3"/>
  <c r="O227" i="3"/>
  <c r="N227" i="3"/>
  <c r="M227" i="3"/>
  <c r="L227" i="3"/>
  <c r="U226" i="3"/>
  <c r="T226" i="3"/>
  <c r="S226" i="3"/>
  <c r="R226" i="3"/>
  <c r="Q226" i="3"/>
  <c r="P226" i="3"/>
  <c r="O226" i="3"/>
  <c r="N226" i="3"/>
  <c r="M226" i="3"/>
  <c r="L226" i="3"/>
  <c r="U225" i="3"/>
  <c r="T225" i="3"/>
  <c r="S225" i="3"/>
  <c r="R225" i="3"/>
  <c r="Q225" i="3"/>
  <c r="P225" i="3"/>
  <c r="O225" i="3"/>
  <c r="N225" i="3"/>
  <c r="M225" i="3"/>
  <c r="L225" i="3"/>
  <c r="U224" i="3"/>
  <c r="T224" i="3"/>
  <c r="S224" i="3"/>
  <c r="R224" i="3"/>
  <c r="Q224" i="3"/>
  <c r="P224" i="3"/>
  <c r="O224" i="3"/>
  <c r="N224" i="3"/>
  <c r="M224" i="3"/>
  <c r="L224" i="3"/>
  <c r="U223" i="3"/>
  <c r="T223" i="3"/>
  <c r="S223" i="3"/>
  <c r="R223" i="3"/>
  <c r="Q223" i="3"/>
  <c r="P223" i="3"/>
  <c r="O223" i="3"/>
  <c r="N223" i="3"/>
  <c r="M223" i="3"/>
  <c r="L223" i="3"/>
  <c r="U222" i="3"/>
  <c r="T222" i="3"/>
  <c r="S222" i="3"/>
  <c r="R222" i="3"/>
  <c r="Q222" i="3"/>
  <c r="P222" i="3"/>
  <c r="O222" i="3"/>
  <c r="N222" i="3"/>
  <c r="M222" i="3"/>
  <c r="L222" i="3"/>
  <c r="U221" i="3"/>
  <c r="T221" i="3"/>
  <c r="S221" i="3"/>
  <c r="R221" i="3"/>
  <c r="Q221" i="3"/>
  <c r="P221" i="3"/>
  <c r="O221" i="3"/>
  <c r="N221" i="3"/>
  <c r="M221" i="3"/>
  <c r="L221" i="3"/>
  <c r="U220" i="3"/>
  <c r="T220" i="3"/>
  <c r="S220" i="3"/>
  <c r="R220" i="3"/>
  <c r="Q220" i="3"/>
  <c r="P220" i="3"/>
  <c r="O220" i="3"/>
  <c r="N220" i="3"/>
  <c r="M220" i="3"/>
  <c r="L220" i="3"/>
  <c r="U219" i="3"/>
  <c r="T219" i="3"/>
  <c r="S219" i="3"/>
  <c r="R219" i="3"/>
  <c r="Q219" i="3"/>
  <c r="P219" i="3"/>
  <c r="O219" i="3"/>
  <c r="N219" i="3"/>
  <c r="M219" i="3"/>
  <c r="L219" i="3"/>
  <c r="U218" i="3"/>
  <c r="T218" i="3"/>
  <c r="S218" i="3"/>
  <c r="R218" i="3"/>
  <c r="Q218" i="3"/>
  <c r="P218" i="3"/>
  <c r="O218" i="3"/>
  <c r="N218" i="3"/>
  <c r="M218" i="3"/>
  <c r="L218" i="3"/>
  <c r="U217" i="3"/>
  <c r="T217" i="3"/>
  <c r="S217" i="3"/>
  <c r="R217" i="3"/>
  <c r="Q217" i="3"/>
  <c r="P217" i="3"/>
  <c r="O217" i="3"/>
  <c r="N217" i="3"/>
  <c r="M217" i="3"/>
  <c r="L217" i="3"/>
  <c r="U216" i="3"/>
  <c r="T216" i="3"/>
  <c r="S216" i="3"/>
  <c r="R216" i="3"/>
  <c r="Q216" i="3"/>
  <c r="P216" i="3"/>
  <c r="O216" i="3"/>
  <c r="N216" i="3"/>
  <c r="M216" i="3"/>
  <c r="L216" i="3"/>
  <c r="U215" i="3"/>
  <c r="T215" i="3"/>
  <c r="S215" i="3"/>
  <c r="R215" i="3"/>
  <c r="Q215" i="3"/>
  <c r="P215" i="3"/>
  <c r="O215" i="3"/>
  <c r="N215" i="3"/>
  <c r="M215" i="3"/>
  <c r="L215" i="3"/>
  <c r="U214" i="3"/>
  <c r="T214" i="3"/>
  <c r="S214" i="3"/>
  <c r="R214" i="3"/>
  <c r="Q214" i="3"/>
  <c r="P214" i="3"/>
  <c r="O214" i="3"/>
  <c r="N214" i="3"/>
  <c r="M214" i="3"/>
  <c r="L214" i="3"/>
  <c r="U213" i="3"/>
  <c r="T213" i="3"/>
  <c r="S213" i="3"/>
  <c r="R213" i="3"/>
  <c r="Q213" i="3"/>
  <c r="P213" i="3"/>
  <c r="O213" i="3"/>
  <c r="N213" i="3"/>
  <c r="M213" i="3"/>
  <c r="L213" i="3"/>
  <c r="U212" i="3"/>
  <c r="T212" i="3"/>
  <c r="S212" i="3"/>
  <c r="R212" i="3"/>
  <c r="Q212" i="3"/>
  <c r="P212" i="3"/>
  <c r="O212" i="3"/>
  <c r="N212" i="3"/>
  <c r="M212" i="3"/>
  <c r="L212" i="3"/>
  <c r="U211" i="3"/>
  <c r="T211" i="3"/>
  <c r="S211" i="3"/>
  <c r="R211" i="3"/>
  <c r="Q211" i="3"/>
  <c r="P211" i="3"/>
  <c r="O211" i="3"/>
  <c r="N211" i="3"/>
  <c r="M211" i="3"/>
  <c r="L211" i="3"/>
  <c r="U210" i="3"/>
  <c r="T210" i="3"/>
  <c r="S210" i="3"/>
  <c r="R210" i="3"/>
  <c r="Q210" i="3"/>
  <c r="P210" i="3"/>
  <c r="O210" i="3"/>
  <c r="N210" i="3"/>
  <c r="M210" i="3"/>
  <c r="L210" i="3"/>
  <c r="U209" i="3"/>
  <c r="T209" i="3"/>
  <c r="S209" i="3"/>
  <c r="R209" i="3"/>
  <c r="Q209" i="3"/>
  <c r="P209" i="3"/>
  <c r="O209" i="3"/>
  <c r="N209" i="3"/>
  <c r="M209" i="3"/>
  <c r="L209" i="3"/>
  <c r="U208" i="3"/>
  <c r="T208" i="3"/>
  <c r="S208" i="3"/>
  <c r="R208" i="3"/>
  <c r="Q208" i="3"/>
  <c r="P208" i="3"/>
  <c r="O208" i="3"/>
  <c r="N208" i="3"/>
  <c r="M208" i="3"/>
  <c r="L208" i="3"/>
  <c r="U207" i="3"/>
  <c r="T207" i="3"/>
  <c r="S207" i="3"/>
  <c r="R207" i="3"/>
  <c r="Q207" i="3"/>
  <c r="P207" i="3"/>
  <c r="O207" i="3"/>
  <c r="N207" i="3"/>
  <c r="M207" i="3"/>
  <c r="L207" i="3"/>
  <c r="U206" i="3"/>
  <c r="T206" i="3"/>
  <c r="S206" i="3"/>
  <c r="R206" i="3"/>
  <c r="Q206" i="3"/>
  <c r="P206" i="3"/>
  <c r="O206" i="3"/>
  <c r="N206" i="3"/>
  <c r="M206" i="3"/>
  <c r="L206" i="3"/>
  <c r="U205" i="3"/>
  <c r="T205" i="3"/>
  <c r="S205" i="3"/>
  <c r="R205" i="3"/>
  <c r="Q205" i="3"/>
  <c r="P205" i="3"/>
  <c r="O205" i="3"/>
  <c r="N205" i="3"/>
  <c r="M205" i="3"/>
  <c r="L205" i="3"/>
  <c r="U204" i="3"/>
  <c r="T204" i="3"/>
  <c r="S204" i="3"/>
  <c r="R204" i="3"/>
  <c r="Q204" i="3"/>
  <c r="P204" i="3"/>
  <c r="O204" i="3"/>
  <c r="N204" i="3"/>
  <c r="M204" i="3"/>
  <c r="L204" i="3"/>
  <c r="U203" i="3"/>
  <c r="T203" i="3"/>
  <c r="S203" i="3"/>
  <c r="R203" i="3"/>
  <c r="Q203" i="3"/>
  <c r="P203" i="3"/>
  <c r="O203" i="3"/>
  <c r="N203" i="3"/>
  <c r="M203" i="3"/>
  <c r="L203" i="3"/>
  <c r="U202" i="3"/>
  <c r="T202" i="3"/>
  <c r="S202" i="3"/>
  <c r="R202" i="3"/>
  <c r="Q202" i="3"/>
  <c r="P202" i="3"/>
  <c r="O202" i="3"/>
  <c r="N202" i="3"/>
  <c r="M202" i="3"/>
  <c r="L202" i="3"/>
  <c r="U201" i="3"/>
  <c r="T201" i="3"/>
  <c r="S201" i="3"/>
  <c r="R201" i="3"/>
  <c r="Q201" i="3"/>
  <c r="P201" i="3"/>
  <c r="O201" i="3"/>
  <c r="N201" i="3"/>
  <c r="M201" i="3"/>
  <c r="L201" i="3"/>
  <c r="U200" i="3"/>
  <c r="T200" i="3"/>
  <c r="S200" i="3"/>
  <c r="R200" i="3"/>
  <c r="Q200" i="3"/>
  <c r="P200" i="3"/>
  <c r="O200" i="3"/>
  <c r="N200" i="3"/>
  <c r="M200" i="3"/>
  <c r="L200" i="3"/>
  <c r="U199" i="3"/>
  <c r="T199" i="3"/>
  <c r="S199" i="3"/>
  <c r="R199" i="3"/>
  <c r="Q199" i="3"/>
  <c r="P199" i="3"/>
  <c r="O199" i="3"/>
  <c r="N199" i="3"/>
  <c r="M199" i="3"/>
  <c r="L199" i="3"/>
  <c r="U198" i="3"/>
  <c r="T198" i="3"/>
  <c r="S198" i="3"/>
  <c r="R198" i="3"/>
  <c r="Q198" i="3"/>
  <c r="P198" i="3"/>
  <c r="O198" i="3"/>
  <c r="N198" i="3"/>
  <c r="M198" i="3"/>
  <c r="L198" i="3"/>
  <c r="U197" i="3"/>
  <c r="T197" i="3"/>
  <c r="S197" i="3"/>
  <c r="R197" i="3"/>
  <c r="Q197" i="3"/>
  <c r="P197" i="3"/>
  <c r="O197" i="3"/>
  <c r="N197" i="3"/>
  <c r="M197" i="3"/>
  <c r="L197" i="3"/>
  <c r="U196" i="3"/>
  <c r="T196" i="3"/>
  <c r="S196" i="3"/>
  <c r="R196" i="3"/>
  <c r="Q196" i="3"/>
  <c r="P196" i="3"/>
  <c r="O196" i="3"/>
  <c r="N196" i="3"/>
  <c r="M196" i="3"/>
  <c r="L196" i="3"/>
  <c r="U195" i="3"/>
  <c r="T195" i="3"/>
  <c r="S195" i="3"/>
  <c r="R195" i="3"/>
  <c r="Q195" i="3"/>
  <c r="P195" i="3"/>
  <c r="O195" i="3"/>
  <c r="N195" i="3"/>
  <c r="M195" i="3"/>
  <c r="L195" i="3"/>
  <c r="U194" i="3"/>
  <c r="T194" i="3"/>
  <c r="S194" i="3"/>
  <c r="R194" i="3"/>
  <c r="Q194" i="3"/>
  <c r="P194" i="3"/>
  <c r="O194" i="3"/>
  <c r="N194" i="3"/>
  <c r="M194" i="3"/>
  <c r="L194" i="3"/>
  <c r="U193" i="3"/>
  <c r="T193" i="3"/>
  <c r="S193" i="3"/>
  <c r="R193" i="3"/>
  <c r="Q193" i="3"/>
  <c r="P193" i="3"/>
  <c r="O193" i="3"/>
  <c r="N193" i="3"/>
  <c r="M193" i="3"/>
  <c r="L193" i="3"/>
  <c r="U192" i="3"/>
  <c r="T192" i="3"/>
  <c r="S192" i="3"/>
  <c r="R192" i="3"/>
  <c r="Q192" i="3"/>
  <c r="P192" i="3"/>
  <c r="O192" i="3"/>
  <c r="N192" i="3"/>
  <c r="M192" i="3"/>
  <c r="L192" i="3"/>
  <c r="U191" i="3"/>
  <c r="T191" i="3"/>
  <c r="S191" i="3"/>
  <c r="R191" i="3"/>
  <c r="Q191" i="3"/>
  <c r="P191" i="3"/>
  <c r="O191" i="3"/>
  <c r="N191" i="3"/>
  <c r="M191" i="3"/>
  <c r="L191" i="3"/>
  <c r="U190" i="3"/>
  <c r="T190" i="3"/>
  <c r="S190" i="3"/>
  <c r="R190" i="3"/>
  <c r="Q190" i="3"/>
  <c r="P190" i="3"/>
  <c r="O190" i="3"/>
  <c r="N190" i="3"/>
  <c r="M190" i="3"/>
  <c r="L190" i="3"/>
  <c r="U189" i="3"/>
  <c r="T189" i="3"/>
  <c r="S189" i="3"/>
  <c r="R189" i="3"/>
  <c r="Q189" i="3"/>
  <c r="P189" i="3"/>
  <c r="O189" i="3"/>
  <c r="N189" i="3"/>
  <c r="M189" i="3"/>
  <c r="L189" i="3"/>
  <c r="U188" i="3"/>
  <c r="T188" i="3"/>
  <c r="S188" i="3"/>
  <c r="R188" i="3"/>
  <c r="Q188" i="3"/>
  <c r="P188" i="3"/>
  <c r="O188" i="3"/>
  <c r="N188" i="3"/>
  <c r="M188" i="3"/>
  <c r="L188" i="3"/>
  <c r="U187" i="3"/>
  <c r="T187" i="3"/>
  <c r="S187" i="3"/>
  <c r="R187" i="3"/>
  <c r="Q187" i="3"/>
  <c r="P187" i="3"/>
  <c r="O187" i="3"/>
  <c r="N187" i="3"/>
  <c r="M187" i="3"/>
  <c r="L187" i="3"/>
  <c r="U186" i="3"/>
  <c r="T186" i="3"/>
  <c r="S186" i="3"/>
  <c r="R186" i="3"/>
  <c r="Q186" i="3"/>
  <c r="P186" i="3"/>
  <c r="O186" i="3"/>
  <c r="N186" i="3"/>
  <c r="M186" i="3"/>
  <c r="L186" i="3"/>
  <c r="U185" i="3"/>
  <c r="T185" i="3"/>
  <c r="S185" i="3"/>
  <c r="R185" i="3"/>
  <c r="Q185" i="3"/>
  <c r="P185" i="3"/>
  <c r="O185" i="3"/>
  <c r="N185" i="3"/>
  <c r="M185" i="3"/>
  <c r="L185" i="3"/>
  <c r="U184" i="3"/>
  <c r="T184" i="3"/>
  <c r="S184" i="3"/>
  <c r="R184" i="3"/>
  <c r="Q184" i="3"/>
  <c r="P184" i="3"/>
  <c r="O184" i="3"/>
  <c r="N184" i="3"/>
  <c r="M184" i="3"/>
  <c r="L184" i="3"/>
  <c r="U183" i="3"/>
  <c r="T183" i="3"/>
  <c r="S183" i="3"/>
  <c r="R183" i="3"/>
  <c r="Q183" i="3"/>
  <c r="P183" i="3"/>
  <c r="O183" i="3"/>
  <c r="N183" i="3"/>
  <c r="M183" i="3"/>
  <c r="L183" i="3"/>
  <c r="U182" i="3"/>
  <c r="T182" i="3"/>
  <c r="S182" i="3"/>
  <c r="R182" i="3"/>
  <c r="Q182" i="3"/>
  <c r="P182" i="3"/>
  <c r="O182" i="3"/>
  <c r="N182" i="3"/>
  <c r="M182" i="3"/>
  <c r="L182" i="3"/>
  <c r="U181" i="3"/>
  <c r="T181" i="3"/>
  <c r="S181" i="3"/>
  <c r="R181" i="3"/>
  <c r="Q181" i="3"/>
  <c r="P181" i="3"/>
  <c r="O181" i="3"/>
  <c r="N181" i="3"/>
  <c r="M181" i="3"/>
  <c r="L181" i="3"/>
  <c r="U180" i="3"/>
  <c r="T180" i="3"/>
  <c r="S180" i="3"/>
  <c r="R180" i="3"/>
  <c r="Q180" i="3"/>
  <c r="P180" i="3"/>
  <c r="O180" i="3"/>
  <c r="N180" i="3"/>
  <c r="M180" i="3"/>
  <c r="L180" i="3"/>
  <c r="U179" i="3"/>
  <c r="T179" i="3"/>
  <c r="S179" i="3"/>
  <c r="R179" i="3"/>
  <c r="Q179" i="3"/>
  <c r="P179" i="3"/>
  <c r="O179" i="3"/>
  <c r="N179" i="3"/>
  <c r="M179" i="3"/>
  <c r="L179" i="3"/>
  <c r="U178" i="3"/>
  <c r="T178" i="3"/>
  <c r="S178" i="3"/>
  <c r="R178" i="3"/>
  <c r="Q178" i="3"/>
  <c r="P178" i="3"/>
  <c r="O178" i="3"/>
  <c r="N178" i="3"/>
  <c r="M178" i="3"/>
  <c r="L178" i="3"/>
  <c r="U177" i="3"/>
  <c r="T177" i="3"/>
  <c r="S177" i="3"/>
  <c r="R177" i="3"/>
  <c r="Q177" i="3"/>
  <c r="P177" i="3"/>
  <c r="O177" i="3"/>
  <c r="N177" i="3"/>
  <c r="M177" i="3"/>
  <c r="L177" i="3"/>
  <c r="U176" i="3"/>
  <c r="T176" i="3"/>
  <c r="S176" i="3"/>
  <c r="R176" i="3"/>
  <c r="Q176" i="3"/>
  <c r="P176" i="3"/>
  <c r="O176" i="3"/>
  <c r="N176" i="3"/>
  <c r="M176" i="3"/>
  <c r="L176" i="3"/>
  <c r="U175" i="3"/>
  <c r="T175" i="3"/>
  <c r="S175" i="3"/>
  <c r="R175" i="3"/>
  <c r="Q175" i="3"/>
  <c r="P175" i="3"/>
  <c r="O175" i="3"/>
  <c r="N175" i="3"/>
  <c r="M175" i="3"/>
  <c r="L175" i="3"/>
  <c r="U174" i="3"/>
  <c r="T174" i="3"/>
  <c r="S174" i="3"/>
  <c r="R174" i="3"/>
  <c r="Q174" i="3"/>
  <c r="P174" i="3"/>
  <c r="O174" i="3"/>
  <c r="N174" i="3"/>
  <c r="M174" i="3"/>
  <c r="L174" i="3"/>
  <c r="U173" i="3"/>
  <c r="T173" i="3"/>
  <c r="S173" i="3"/>
  <c r="R173" i="3"/>
  <c r="Q173" i="3"/>
  <c r="P173" i="3"/>
  <c r="O173" i="3"/>
  <c r="N173" i="3"/>
  <c r="M173" i="3"/>
  <c r="L173" i="3"/>
  <c r="U172" i="3"/>
  <c r="T172" i="3"/>
  <c r="S172" i="3"/>
  <c r="R172" i="3"/>
  <c r="Q172" i="3"/>
  <c r="P172" i="3"/>
  <c r="O172" i="3"/>
  <c r="N172" i="3"/>
  <c r="M172" i="3"/>
  <c r="L172" i="3"/>
  <c r="U171" i="3"/>
  <c r="T171" i="3"/>
  <c r="S171" i="3"/>
  <c r="R171" i="3"/>
  <c r="Q171" i="3"/>
  <c r="P171" i="3"/>
  <c r="O171" i="3"/>
  <c r="N171" i="3"/>
  <c r="M171" i="3"/>
  <c r="L171" i="3"/>
  <c r="U170" i="3"/>
  <c r="T170" i="3"/>
  <c r="S170" i="3"/>
  <c r="R170" i="3"/>
  <c r="Q170" i="3"/>
  <c r="P170" i="3"/>
  <c r="O170" i="3"/>
  <c r="N170" i="3"/>
  <c r="M170" i="3"/>
  <c r="L170" i="3"/>
  <c r="U169" i="3"/>
  <c r="T169" i="3"/>
  <c r="S169" i="3"/>
  <c r="R169" i="3"/>
  <c r="Q169" i="3"/>
  <c r="P169" i="3"/>
  <c r="O169" i="3"/>
  <c r="N169" i="3"/>
  <c r="M169" i="3"/>
  <c r="L169" i="3"/>
  <c r="U168" i="3"/>
  <c r="T168" i="3"/>
  <c r="S168" i="3"/>
  <c r="R168" i="3"/>
  <c r="Q168" i="3"/>
  <c r="P168" i="3"/>
  <c r="O168" i="3"/>
  <c r="N168" i="3"/>
  <c r="M168" i="3"/>
  <c r="L168" i="3"/>
  <c r="U167" i="3"/>
  <c r="T167" i="3"/>
  <c r="S167" i="3"/>
  <c r="R167" i="3"/>
  <c r="Q167" i="3"/>
  <c r="P167" i="3"/>
  <c r="O167" i="3"/>
  <c r="N167" i="3"/>
  <c r="M167" i="3"/>
  <c r="L167" i="3"/>
  <c r="U166" i="3"/>
  <c r="T166" i="3"/>
  <c r="S166" i="3"/>
  <c r="R166" i="3"/>
  <c r="Q166" i="3"/>
  <c r="P166" i="3"/>
  <c r="O166" i="3"/>
  <c r="N166" i="3"/>
  <c r="M166" i="3"/>
  <c r="L166" i="3"/>
  <c r="U165" i="3"/>
  <c r="T165" i="3"/>
  <c r="S165" i="3"/>
  <c r="R165" i="3"/>
  <c r="Q165" i="3"/>
  <c r="P165" i="3"/>
  <c r="O165" i="3"/>
  <c r="N165" i="3"/>
  <c r="M165" i="3"/>
  <c r="L165" i="3"/>
  <c r="U164" i="3"/>
  <c r="T164" i="3"/>
  <c r="S164" i="3"/>
  <c r="R164" i="3"/>
  <c r="Q164" i="3"/>
  <c r="P164" i="3"/>
  <c r="O164" i="3"/>
  <c r="N164" i="3"/>
  <c r="M164" i="3"/>
  <c r="L164" i="3"/>
  <c r="U163" i="3"/>
  <c r="T163" i="3"/>
  <c r="S163" i="3"/>
  <c r="R163" i="3"/>
  <c r="Q163" i="3"/>
  <c r="P163" i="3"/>
  <c r="O163" i="3"/>
  <c r="N163" i="3"/>
  <c r="M163" i="3"/>
  <c r="L163" i="3"/>
  <c r="U162" i="3"/>
  <c r="T162" i="3"/>
  <c r="S162" i="3"/>
  <c r="R162" i="3"/>
  <c r="Q162" i="3"/>
  <c r="P162" i="3"/>
  <c r="O162" i="3"/>
  <c r="N162" i="3"/>
  <c r="M162" i="3"/>
  <c r="L162" i="3"/>
  <c r="U161" i="3"/>
  <c r="T161" i="3"/>
  <c r="S161" i="3"/>
  <c r="R161" i="3"/>
  <c r="Q161" i="3"/>
  <c r="P161" i="3"/>
  <c r="O161" i="3"/>
  <c r="N161" i="3"/>
  <c r="M161" i="3"/>
  <c r="L161" i="3"/>
  <c r="U160" i="3"/>
  <c r="T160" i="3"/>
  <c r="S160" i="3"/>
  <c r="R160" i="3"/>
  <c r="Q160" i="3"/>
  <c r="P160" i="3"/>
  <c r="O160" i="3"/>
  <c r="N160" i="3"/>
  <c r="M160" i="3"/>
  <c r="L160" i="3"/>
  <c r="U159" i="3"/>
  <c r="T159" i="3"/>
  <c r="S159" i="3"/>
  <c r="R159" i="3"/>
  <c r="Q159" i="3"/>
  <c r="P159" i="3"/>
  <c r="O159" i="3"/>
  <c r="N159" i="3"/>
  <c r="M159" i="3"/>
  <c r="L159" i="3"/>
  <c r="U158" i="3"/>
  <c r="T158" i="3"/>
  <c r="S158" i="3"/>
  <c r="R158" i="3"/>
  <c r="Q158" i="3"/>
  <c r="P158" i="3"/>
  <c r="O158" i="3"/>
  <c r="N158" i="3"/>
  <c r="M158" i="3"/>
  <c r="L158" i="3"/>
  <c r="U157" i="3"/>
  <c r="T157" i="3"/>
  <c r="S157" i="3"/>
  <c r="R157" i="3"/>
  <c r="Q157" i="3"/>
  <c r="P157" i="3"/>
  <c r="O157" i="3"/>
  <c r="N157" i="3"/>
  <c r="M157" i="3"/>
  <c r="L157" i="3"/>
  <c r="U156" i="3"/>
  <c r="T156" i="3"/>
  <c r="S156" i="3"/>
  <c r="R156" i="3"/>
  <c r="Q156" i="3"/>
  <c r="P156" i="3"/>
  <c r="O156" i="3"/>
  <c r="N156" i="3"/>
  <c r="M156" i="3"/>
  <c r="L156" i="3"/>
  <c r="U155" i="3"/>
  <c r="T155" i="3"/>
  <c r="S155" i="3"/>
  <c r="R155" i="3"/>
  <c r="Q155" i="3"/>
  <c r="P155" i="3"/>
  <c r="O155" i="3"/>
  <c r="N155" i="3"/>
  <c r="M155" i="3"/>
  <c r="L155" i="3"/>
  <c r="U154" i="3"/>
  <c r="T154" i="3"/>
  <c r="S154" i="3"/>
  <c r="R154" i="3"/>
  <c r="Q154" i="3"/>
  <c r="P154" i="3"/>
  <c r="O154" i="3"/>
  <c r="N154" i="3"/>
  <c r="M154" i="3"/>
  <c r="L154" i="3"/>
  <c r="U153" i="3"/>
  <c r="T153" i="3"/>
  <c r="S153" i="3"/>
  <c r="R153" i="3"/>
  <c r="Q153" i="3"/>
  <c r="P153" i="3"/>
  <c r="O153" i="3"/>
  <c r="N153" i="3"/>
  <c r="M153" i="3"/>
  <c r="L153" i="3"/>
  <c r="U152" i="3"/>
  <c r="T152" i="3"/>
  <c r="S152" i="3"/>
  <c r="R152" i="3"/>
  <c r="Q152" i="3"/>
  <c r="P152" i="3"/>
  <c r="O152" i="3"/>
  <c r="N152" i="3"/>
  <c r="M152" i="3"/>
  <c r="L152" i="3"/>
  <c r="U151" i="3"/>
  <c r="T151" i="3"/>
  <c r="S151" i="3"/>
  <c r="R151" i="3"/>
  <c r="Q151" i="3"/>
  <c r="P151" i="3"/>
  <c r="O151" i="3"/>
  <c r="N151" i="3"/>
  <c r="M151" i="3"/>
  <c r="L151" i="3"/>
  <c r="U150" i="3"/>
  <c r="T150" i="3"/>
  <c r="S150" i="3"/>
  <c r="R150" i="3"/>
  <c r="Q150" i="3"/>
  <c r="P150" i="3"/>
  <c r="O150" i="3"/>
  <c r="N150" i="3"/>
  <c r="M150" i="3"/>
  <c r="L150" i="3"/>
  <c r="U149" i="3"/>
  <c r="T149" i="3"/>
  <c r="S149" i="3"/>
  <c r="R149" i="3"/>
  <c r="Q149" i="3"/>
  <c r="P149" i="3"/>
  <c r="O149" i="3"/>
  <c r="N149" i="3"/>
  <c r="M149" i="3"/>
  <c r="L149" i="3"/>
  <c r="U148" i="3"/>
  <c r="T148" i="3"/>
  <c r="S148" i="3"/>
  <c r="R148" i="3"/>
  <c r="Q148" i="3"/>
  <c r="P148" i="3"/>
  <c r="O148" i="3"/>
  <c r="N148" i="3"/>
  <c r="M148" i="3"/>
  <c r="L148" i="3"/>
  <c r="U147" i="3"/>
  <c r="T147" i="3"/>
  <c r="S147" i="3"/>
  <c r="R147" i="3"/>
  <c r="Q147" i="3"/>
  <c r="P147" i="3"/>
  <c r="O147" i="3"/>
  <c r="N147" i="3"/>
  <c r="M147" i="3"/>
  <c r="L147" i="3"/>
  <c r="U146" i="3"/>
  <c r="T146" i="3"/>
  <c r="S146" i="3"/>
  <c r="R146" i="3"/>
  <c r="Q146" i="3"/>
  <c r="P146" i="3"/>
  <c r="O146" i="3"/>
  <c r="N146" i="3"/>
  <c r="M146" i="3"/>
  <c r="L146" i="3"/>
  <c r="U145" i="3"/>
  <c r="T145" i="3"/>
  <c r="S145" i="3"/>
  <c r="R145" i="3"/>
  <c r="Q145" i="3"/>
  <c r="P145" i="3"/>
  <c r="O145" i="3"/>
  <c r="N145" i="3"/>
  <c r="M145" i="3"/>
  <c r="L145" i="3"/>
  <c r="U144" i="3"/>
  <c r="T144" i="3"/>
  <c r="S144" i="3"/>
  <c r="R144" i="3"/>
  <c r="Q144" i="3"/>
  <c r="P144" i="3"/>
  <c r="O144" i="3"/>
  <c r="N144" i="3"/>
  <c r="M144" i="3"/>
  <c r="L144" i="3"/>
  <c r="U143" i="3"/>
  <c r="T143" i="3"/>
  <c r="S143" i="3"/>
  <c r="R143" i="3"/>
  <c r="Q143" i="3"/>
  <c r="P143" i="3"/>
  <c r="O143" i="3"/>
  <c r="N143" i="3"/>
  <c r="M143" i="3"/>
  <c r="L143" i="3"/>
  <c r="U142" i="3"/>
  <c r="T142" i="3"/>
  <c r="S142" i="3"/>
  <c r="R142" i="3"/>
  <c r="Q142" i="3"/>
  <c r="P142" i="3"/>
  <c r="O142" i="3"/>
  <c r="N142" i="3"/>
  <c r="M142" i="3"/>
  <c r="L142" i="3"/>
  <c r="U141" i="3"/>
  <c r="T141" i="3"/>
  <c r="S141" i="3"/>
  <c r="R141" i="3"/>
  <c r="Q141" i="3"/>
  <c r="P141" i="3"/>
  <c r="O141" i="3"/>
  <c r="N141" i="3"/>
  <c r="M141" i="3"/>
  <c r="L141" i="3"/>
  <c r="U140" i="3"/>
  <c r="T140" i="3"/>
  <c r="S140" i="3"/>
  <c r="R140" i="3"/>
  <c r="Q140" i="3"/>
  <c r="P140" i="3"/>
  <c r="O140" i="3"/>
  <c r="N140" i="3"/>
  <c r="M140" i="3"/>
  <c r="L140" i="3"/>
  <c r="U139" i="3"/>
  <c r="T139" i="3"/>
  <c r="S139" i="3"/>
  <c r="R139" i="3"/>
  <c r="Q139" i="3"/>
  <c r="P139" i="3"/>
  <c r="O139" i="3"/>
  <c r="N139" i="3"/>
  <c r="M139" i="3"/>
  <c r="L139" i="3"/>
  <c r="U138" i="3"/>
  <c r="T138" i="3"/>
  <c r="S138" i="3"/>
  <c r="R138" i="3"/>
  <c r="Q138" i="3"/>
  <c r="P138" i="3"/>
  <c r="O138" i="3"/>
  <c r="N138" i="3"/>
  <c r="M138" i="3"/>
  <c r="L138" i="3"/>
  <c r="U137" i="3"/>
  <c r="T137" i="3"/>
  <c r="S137" i="3"/>
  <c r="R137" i="3"/>
  <c r="Q137" i="3"/>
  <c r="P137" i="3"/>
  <c r="O137" i="3"/>
  <c r="N137" i="3"/>
  <c r="M137" i="3"/>
  <c r="L137" i="3"/>
  <c r="U136" i="3"/>
  <c r="T136" i="3"/>
  <c r="S136" i="3"/>
  <c r="R136" i="3"/>
  <c r="Q136" i="3"/>
  <c r="P136" i="3"/>
  <c r="O136" i="3"/>
  <c r="N136" i="3"/>
  <c r="M136" i="3"/>
  <c r="L136" i="3"/>
  <c r="U135" i="3"/>
  <c r="T135" i="3"/>
  <c r="S135" i="3"/>
  <c r="R135" i="3"/>
  <c r="Q135" i="3"/>
  <c r="P135" i="3"/>
  <c r="O135" i="3"/>
  <c r="N135" i="3"/>
  <c r="M135" i="3"/>
  <c r="L135" i="3"/>
  <c r="U134" i="3"/>
  <c r="T134" i="3"/>
  <c r="S134" i="3"/>
  <c r="R134" i="3"/>
  <c r="Q134" i="3"/>
  <c r="P134" i="3"/>
  <c r="O134" i="3"/>
  <c r="N134" i="3"/>
  <c r="M134" i="3"/>
  <c r="L134" i="3"/>
  <c r="U133" i="3"/>
  <c r="T133" i="3"/>
  <c r="S133" i="3"/>
  <c r="R133" i="3"/>
  <c r="Q133" i="3"/>
  <c r="P133" i="3"/>
  <c r="O133" i="3"/>
  <c r="N133" i="3"/>
  <c r="M133" i="3"/>
  <c r="L133" i="3"/>
  <c r="U132" i="3"/>
  <c r="T132" i="3"/>
  <c r="S132" i="3"/>
  <c r="R132" i="3"/>
  <c r="Q132" i="3"/>
  <c r="P132" i="3"/>
  <c r="O132" i="3"/>
  <c r="N132" i="3"/>
  <c r="M132" i="3"/>
  <c r="L132" i="3"/>
  <c r="U131" i="3"/>
  <c r="T131" i="3"/>
  <c r="S131" i="3"/>
  <c r="R131" i="3"/>
  <c r="Q131" i="3"/>
  <c r="P131" i="3"/>
  <c r="O131" i="3"/>
  <c r="N131" i="3"/>
  <c r="M131" i="3"/>
  <c r="L131" i="3"/>
  <c r="U130" i="3"/>
  <c r="T130" i="3"/>
  <c r="S130" i="3"/>
  <c r="R130" i="3"/>
  <c r="Q130" i="3"/>
  <c r="P130" i="3"/>
  <c r="O130" i="3"/>
  <c r="N130" i="3"/>
  <c r="M130" i="3"/>
  <c r="L130" i="3"/>
  <c r="U129" i="3"/>
  <c r="T129" i="3"/>
  <c r="S129" i="3"/>
  <c r="R129" i="3"/>
  <c r="Q129" i="3"/>
  <c r="P129" i="3"/>
  <c r="O129" i="3"/>
  <c r="N129" i="3"/>
  <c r="M129" i="3"/>
  <c r="L129" i="3"/>
  <c r="U128" i="3"/>
  <c r="T128" i="3"/>
  <c r="S128" i="3"/>
  <c r="R128" i="3"/>
  <c r="Q128" i="3"/>
  <c r="P128" i="3"/>
  <c r="O128" i="3"/>
  <c r="N128" i="3"/>
  <c r="M128" i="3"/>
  <c r="L128" i="3"/>
  <c r="U127" i="3"/>
  <c r="T127" i="3"/>
  <c r="S127" i="3"/>
  <c r="R127" i="3"/>
  <c r="Q127" i="3"/>
  <c r="P127" i="3"/>
  <c r="O127" i="3"/>
  <c r="N127" i="3"/>
  <c r="M127" i="3"/>
  <c r="L127" i="3"/>
  <c r="U126" i="3"/>
  <c r="T126" i="3"/>
  <c r="S126" i="3"/>
  <c r="R126" i="3"/>
  <c r="Q126" i="3"/>
  <c r="P126" i="3"/>
  <c r="O126" i="3"/>
  <c r="N126" i="3"/>
  <c r="M126" i="3"/>
  <c r="L126" i="3"/>
  <c r="U125" i="3"/>
  <c r="T125" i="3"/>
  <c r="S125" i="3"/>
  <c r="R125" i="3"/>
  <c r="Q125" i="3"/>
  <c r="P125" i="3"/>
  <c r="O125" i="3"/>
  <c r="N125" i="3"/>
  <c r="M125" i="3"/>
  <c r="L125" i="3"/>
  <c r="U124" i="3"/>
  <c r="T124" i="3"/>
  <c r="S124" i="3"/>
  <c r="R124" i="3"/>
  <c r="Q124" i="3"/>
  <c r="P124" i="3"/>
  <c r="O124" i="3"/>
  <c r="N124" i="3"/>
  <c r="M124" i="3"/>
  <c r="L124" i="3"/>
  <c r="U123" i="3"/>
  <c r="T123" i="3"/>
  <c r="S123" i="3"/>
  <c r="R123" i="3"/>
  <c r="Q123" i="3"/>
  <c r="P123" i="3"/>
  <c r="O123" i="3"/>
  <c r="N123" i="3"/>
  <c r="M123" i="3"/>
  <c r="L123" i="3"/>
  <c r="U122" i="3"/>
  <c r="T122" i="3"/>
  <c r="S122" i="3"/>
  <c r="R122" i="3"/>
  <c r="Q122" i="3"/>
  <c r="P122" i="3"/>
  <c r="O122" i="3"/>
  <c r="N122" i="3"/>
  <c r="M122" i="3"/>
  <c r="L122" i="3"/>
  <c r="U121" i="3"/>
  <c r="T121" i="3"/>
  <c r="S121" i="3"/>
  <c r="R121" i="3"/>
  <c r="Q121" i="3"/>
  <c r="P121" i="3"/>
  <c r="O121" i="3"/>
  <c r="N121" i="3"/>
  <c r="M121" i="3"/>
  <c r="L121" i="3"/>
  <c r="U120" i="3"/>
  <c r="T120" i="3"/>
  <c r="S120" i="3"/>
  <c r="R120" i="3"/>
  <c r="Q120" i="3"/>
  <c r="P120" i="3"/>
  <c r="O120" i="3"/>
  <c r="N120" i="3"/>
  <c r="M120" i="3"/>
  <c r="L120" i="3"/>
  <c r="U119" i="3"/>
  <c r="T119" i="3"/>
  <c r="S119" i="3"/>
  <c r="R119" i="3"/>
  <c r="Q119" i="3"/>
  <c r="P119" i="3"/>
  <c r="O119" i="3"/>
  <c r="N119" i="3"/>
  <c r="M119" i="3"/>
  <c r="L119" i="3"/>
  <c r="U118" i="3"/>
  <c r="T118" i="3"/>
  <c r="S118" i="3"/>
  <c r="R118" i="3"/>
  <c r="Q118" i="3"/>
  <c r="P118" i="3"/>
  <c r="O118" i="3"/>
  <c r="N118" i="3"/>
  <c r="M118" i="3"/>
  <c r="L118" i="3"/>
  <c r="U117" i="3"/>
  <c r="T117" i="3"/>
  <c r="S117" i="3"/>
  <c r="R117" i="3"/>
  <c r="Q117" i="3"/>
  <c r="P117" i="3"/>
  <c r="O117" i="3"/>
  <c r="N117" i="3"/>
  <c r="M117" i="3"/>
  <c r="L117" i="3"/>
  <c r="U116" i="3"/>
  <c r="T116" i="3"/>
  <c r="S116" i="3"/>
  <c r="R116" i="3"/>
  <c r="Q116" i="3"/>
  <c r="P116" i="3"/>
  <c r="O116" i="3"/>
  <c r="N116" i="3"/>
  <c r="M116" i="3"/>
  <c r="L116" i="3"/>
  <c r="U115" i="3"/>
  <c r="T115" i="3"/>
  <c r="S115" i="3"/>
  <c r="R115" i="3"/>
  <c r="Q115" i="3"/>
  <c r="P115" i="3"/>
  <c r="O115" i="3"/>
  <c r="N115" i="3"/>
  <c r="M115" i="3"/>
  <c r="L115" i="3"/>
  <c r="U114" i="3"/>
  <c r="T114" i="3"/>
  <c r="S114" i="3"/>
  <c r="R114" i="3"/>
  <c r="Q114" i="3"/>
  <c r="P114" i="3"/>
  <c r="O114" i="3"/>
  <c r="N114" i="3"/>
  <c r="M114" i="3"/>
  <c r="L114" i="3"/>
  <c r="U113" i="3"/>
  <c r="T113" i="3"/>
  <c r="S113" i="3"/>
  <c r="R113" i="3"/>
  <c r="Q113" i="3"/>
  <c r="P113" i="3"/>
  <c r="O113" i="3"/>
  <c r="N113" i="3"/>
  <c r="M113" i="3"/>
  <c r="L113" i="3"/>
  <c r="U112" i="3"/>
  <c r="T112" i="3"/>
  <c r="S112" i="3"/>
  <c r="R112" i="3"/>
  <c r="Q112" i="3"/>
  <c r="P112" i="3"/>
  <c r="O112" i="3"/>
  <c r="N112" i="3"/>
  <c r="M112" i="3"/>
  <c r="L112" i="3"/>
  <c r="U111" i="3"/>
  <c r="T111" i="3"/>
  <c r="S111" i="3"/>
  <c r="R111" i="3"/>
  <c r="Q111" i="3"/>
  <c r="P111" i="3"/>
  <c r="O111" i="3"/>
  <c r="N111" i="3"/>
  <c r="M111" i="3"/>
  <c r="L111" i="3"/>
  <c r="U110" i="3"/>
  <c r="T110" i="3"/>
  <c r="S110" i="3"/>
  <c r="R110" i="3"/>
  <c r="Q110" i="3"/>
  <c r="P110" i="3"/>
  <c r="O110" i="3"/>
  <c r="N110" i="3"/>
  <c r="M110" i="3"/>
  <c r="L110" i="3"/>
  <c r="U109" i="3"/>
  <c r="T109" i="3"/>
  <c r="S109" i="3"/>
  <c r="R109" i="3"/>
  <c r="Q109" i="3"/>
  <c r="P109" i="3"/>
  <c r="O109" i="3"/>
  <c r="N109" i="3"/>
  <c r="M109" i="3"/>
  <c r="L109" i="3"/>
  <c r="U108" i="3"/>
  <c r="T108" i="3"/>
  <c r="S108" i="3"/>
  <c r="R108" i="3"/>
  <c r="Q108" i="3"/>
  <c r="P108" i="3"/>
  <c r="O108" i="3"/>
  <c r="N108" i="3"/>
  <c r="M108" i="3"/>
  <c r="L108" i="3"/>
  <c r="U107" i="3"/>
  <c r="T107" i="3"/>
  <c r="S107" i="3"/>
  <c r="R107" i="3"/>
  <c r="Q107" i="3"/>
  <c r="P107" i="3"/>
  <c r="O107" i="3"/>
  <c r="N107" i="3"/>
  <c r="M107" i="3"/>
  <c r="L107" i="3"/>
  <c r="U106" i="3"/>
  <c r="T106" i="3"/>
  <c r="S106" i="3"/>
  <c r="R106" i="3"/>
  <c r="Q106" i="3"/>
  <c r="P106" i="3"/>
  <c r="O106" i="3"/>
  <c r="N106" i="3"/>
  <c r="M106" i="3"/>
  <c r="L106" i="3"/>
  <c r="U105" i="3"/>
  <c r="T105" i="3"/>
  <c r="S105" i="3"/>
  <c r="R105" i="3"/>
  <c r="Q105" i="3"/>
  <c r="P105" i="3"/>
  <c r="O105" i="3"/>
  <c r="N105" i="3"/>
  <c r="M105" i="3"/>
  <c r="L105" i="3"/>
  <c r="U104" i="3"/>
  <c r="T104" i="3"/>
  <c r="S104" i="3"/>
  <c r="R104" i="3"/>
  <c r="Q104" i="3"/>
  <c r="P104" i="3"/>
  <c r="O104" i="3"/>
  <c r="N104" i="3"/>
  <c r="M104" i="3"/>
  <c r="L104" i="3"/>
  <c r="U103" i="3"/>
  <c r="T103" i="3"/>
  <c r="S103" i="3"/>
  <c r="R103" i="3"/>
  <c r="Q103" i="3"/>
  <c r="P103" i="3"/>
  <c r="O103" i="3"/>
  <c r="N103" i="3"/>
  <c r="M103" i="3"/>
  <c r="L103" i="3"/>
  <c r="U102" i="3"/>
  <c r="T102" i="3"/>
  <c r="S102" i="3"/>
  <c r="R102" i="3"/>
  <c r="Q102" i="3"/>
  <c r="P102" i="3"/>
  <c r="O102" i="3"/>
  <c r="N102" i="3"/>
  <c r="M102" i="3"/>
  <c r="L102" i="3"/>
  <c r="U101" i="3"/>
  <c r="T101" i="3"/>
  <c r="S101" i="3"/>
  <c r="R101" i="3"/>
  <c r="Q101" i="3"/>
  <c r="P101" i="3"/>
  <c r="O101" i="3"/>
  <c r="N101" i="3"/>
  <c r="M101" i="3"/>
  <c r="L101" i="3"/>
  <c r="U100" i="3"/>
  <c r="T100" i="3"/>
  <c r="S100" i="3"/>
  <c r="R100" i="3"/>
  <c r="Q100" i="3"/>
  <c r="P100" i="3"/>
  <c r="O100" i="3"/>
  <c r="N100" i="3"/>
  <c r="M100" i="3"/>
  <c r="L100" i="3"/>
  <c r="U99" i="3"/>
  <c r="T99" i="3"/>
  <c r="S99" i="3"/>
  <c r="R99" i="3"/>
  <c r="Q99" i="3"/>
  <c r="P99" i="3"/>
  <c r="O99" i="3"/>
  <c r="N99" i="3"/>
  <c r="M99" i="3"/>
  <c r="L99" i="3"/>
  <c r="U98" i="3"/>
  <c r="T98" i="3"/>
  <c r="S98" i="3"/>
  <c r="R98" i="3"/>
  <c r="Q98" i="3"/>
  <c r="P98" i="3"/>
  <c r="O98" i="3"/>
  <c r="N98" i="3"/>
  <c r="M98" i="3"/>
  <c r="L98" i="3"/>
  <c r="U97" i="3"/>
  <c r="T97" i="3"/>
  <c r="S97" i="3"/>
  <c r="R97" i="3"/>
  <c r="Q97" i="3"/>
  <c r="P97" i="3"/>
  <c r="O97" i="3"/>
  <c r="N97" i="3"/>
  <c r="M97" i="3"/>
  <c r="L97" i="3"/>
  <c r="U96" i="3"/>
  <c r="T96" i="3"/>
  <c r="S96" i="3"/>
  <c r="R96" i="3"/>
  <c r="Q96" i="3"/>
  <c r="P96" i="3"/>
  <c r="O96" i="3"/>
  <c r="N96" i="3"/>
  <c r="M96" i="3"/>
  <c r="L96" i="3"/>
  <c r="U95" i="3"/>
  <c r="T95" i="3"/>
  <c r="S95" i="3"/>
  <c r="R95" i="3"/>
  <c r="Q95" i="3"/>
  <c r="P95" i="3"/>
  <c r="O95" i="3"/>
  <c r="N95" i="3"/>
  <c r="M95" i="3"/>
  <c r="L95" i="3"/>
  <c r="U94" i="3"/>
  <c r="T94" i="3"/>
  <c r="S94" i="3"/>
  <c r="R94" i="3"/>
  <c r="Q94" i="3"/>
  <c r="P94" i="3"/>
  <c r="O94" i="3"/>
  <c r="N94" i="3"/>
  <c r="M94" i="3"/>
  <c r="L94" i="3"/>
  <c r="U93" i="3"/>
  <c r="T93" i="3"/>
  <c r="S93" i="3"/>
  <c r="R93" i="3"/>
  <c r="Q93" i="3"/>
  <c r="P93" i="3"/>
  <c r="O93" i="3"/>
  <c r="N93" i="3"/>
  <c r="M93" i="3"/>
  <c r="L93" i="3"/>
  <c r="U92" i="3"/>
  <c r="T92" i="3"/>
  <c r="S92" i="3"/>
  <c r="R92" i="3"/>
  <c r="Q92" i="3"/>
  <c r="P92" i="3"/>
  <c r="O92" i="3"/>
  <c r="N92" i="3"/>
  <c r="M92" i="3"/>
  <c r="L92" i="3"/>
  <c r="U91" i="3"/>
  <c r="T91" i="3"/>
  <c r="S91" i="3"/>
  <c r="R91" i="3"/>
  <c r="Q91" i="3"/>
  <c r="P91" i="3"/>
  <c r="O91" i="3"/>
  <c r="N91" i="3"/>
  <c r="M91" i="3"/>
  <c r="L91" i="3"/>
  <c r="U90" i="3"/>
  <c r="T90" i="3"/>
  <c r="S90" i="3"/>
  <c r="R90" i="3"/>
  <c r="Q90" i="3"/>
  <c r="P90" i="3"/>
  <c r="O90" i="3"/>
  <c r="N90" i="3"/>
  <c r="M90" i="3"/>
  <c r="L90" i="3"/>
  <c r="U89" i="3"/>
  <c r="T89" i="3"/>
  <c r="S89" i="3"/>
  <c r="R89" i="3"/>
  <c r="Q89" i="3"/>
  <c r="P89" i="3"/>
  <c r="O89" i="3"/>
  <c r="N89" i="3"/>
  <c r="M89" i="3"/>
  <c r="L89" i="3"/>
  <c r="U88" i="3"/>
  <c r="T88" i="3"/>
  <c r="S88" i="3"/>
  <c r="R88" i="3"/>
  <c r="Q88" i="3"/>
  <c r="P88" i="3"/>
  <c r="O88" i="3"/>
  <c r="N88" i="3"/>
  <c r="M88" i="3"/>
  <c r="L88" i="3"/>
  <c r="U87" i="3"/>
  <c r="T87" i="3"/>
  <c r="S87" i="3"/>
  <c r="R87" i="3"/>
  <c r="Q87" i="3"/>
  <c r="P87" i="3"/>
  <c r="O87" i="3"/>
  <c r="N87" i="3"/>
  <c r="M87" i="3"/>
  <c r="L87" i="3"/>
  <c r="U86" i="3"/>
  <c r="T86" i="3"/>
  <c r="S86" i="3"/>
  <c r="R86" i="3"/>
  <c r="Q86" i="3"/>
  <c r="P86" i="3"/>
  <c r="O86" i="3"/>
  <c r="N86" i="3"/>
  <c r="M86" i="3"/>
  <c r="L86" i="3"/>
  <c r="U85" i="3"/>
  <c r="T85" i="3"/>
  <c r="S85" i="3"/>
  <c r="R85" i="3"/>
  <c r="Q85" i="3"/>
  <c r="P85" i="3"/>
  <c r="O85" i="3"/>
  <c r="N85" i="3"/>
  <c r="M85" i="3"/>
  <c r="L85" i="3"/>
  <c r="U84" i="3"/>
  <c r="T84" i="3"/>
  <c r="S84" i="3"/>
  <c r="R84" i="3"/>
  <c r="Q84" i="3"/>
  <c r="P84" i="3"/>
  <c r="O84" i="3"/>
  <c r="N84" i="3"/>
  <c r="M84" i="3"/>
  <c r="L84" i="3"/>
  <c r="U83" i="3"/>
  <c r="T83" i="3"/>
  <c r="S83" i="3"/>
  <c r="R83" i="3"/>
  <c r="Q83" i="3"/>
  <c r="P83" i="3"/>
  <c r="O83" i="3"/>
  <c r="N83" i="3"/>
  <c r="M83" i="3"/>
  <c r="L83" i="3"/>
  <c r="U82" i="3"/>
  <c r="T82" i="3"/>
  <c r="S82" i="3"/>
  <c r="R82" i="3"/>
  <c r="Q82" i="3"/>
  <c r="P82" i="3"/>
  <c r="O82" i="3"/>
  <c r="N82" i="3"/>
  <c r="M82" i="3"/>
  <c r="L82" i="3"/>
  <c r="U81" i="3"/>
  <c r="T81" i="3"/>
  <c r="S81" i="3"/>
  <c r="R81" i="3"/>
  <c r="Q81" i="3"/>
  <c r="P81" i="3"/>
  <c r="O81" i="3"/>
  <c r="N81" i="3"/>
  <c r="M81" i="3"/>
  <c r="L81" i="3"/>
  <c r="U80" i="3"/>
  <c r="T80" i="3"/>
  <c r="S80" i="3"/>
  <c r="R80" i="3"/>
  <c r="Q80" i="3"/>
  <c r="P80" i="3"/>
  <c r="O80" i="3"/>
  <c r="N80" i="3"/>
  <c r="M80" i="3"/>
  <c r="L80" i="3"/>
  <c r="U79" i="3"/>
  <c r="T79" i="3"/>
  <c r="S79" i="3"/>
  <c r="R79" i="3"/>
  <c r="Q79" i="3"/>
  <c r="P79" i="3"/>
  <c r="O79" i="3"/>
  <c r="N79" i="3"/>
  <c r="M79" i="3"/>
  <c r="L79" i="3"/>
  <c r="U78" i="3"/>
  <c r="T78" i="3"/>
  <c r="S78" i="3"/>
  <c r="R78" i="3"/>
  <c r="Q78" i="3"/>
  <c r="P78" i="3"/>
  <c r="O78" i="3"/>
  <c r="N78" i="3"/>
  <c r="M78" i="3"/>
  <c r="L78" i="3"/>
  <c r="U77" i="3"/>
  <c r="T77" i="3"/>
  <c r="S77" i="3"/>
  <c r="R77" i="3"/>
  <c r="Q77" i="3"/>
  <c r="P77" i="3"/>
  <c r="O77" i="3"/>
  <c r="N77" i="3"/>
  <c r="M77" i="3"/>
  <c r="L77" i="3"/>
  <c r="U76" i="3"/>
  <c r="T76" i="3"/>
  <c r="S76" i="3"/>
  <c r="R76" i="3"/>
  <c r="Q76" i="3"/>
  <c r="P76" i="3"/>
  <c r="O76" i="3"/>
  <c r="N76" i="3"/>
  <c r="M76" i="3"/>
  <c r="L76" i="3"/>
  <c r="U75" i="3"/>
  <c r="T75" i="3"/>
  <c r="S75" i="3"/>
  <c r="R75" i="3"/>
  <c r="Q75" i="3"/>
  <c r="P75" i="3"/>
  <c r="O75" i="3"/>
  <c r="N75" i="3"/>
  <c r="M75" i="3"/>
  <c r="L75" i="3"/>
  <c r="U74" i="3"/>
  <c r="T74" i="3"/>
  <c r="S74" i="3"/>
  <c r="R74" i="3"/>
  <c r="Q74" i="3"/>
  <c r="P74" i="3"/>
  <c r="O74" i="3"/>
  <c r="N74" i="3"/>
  <c r="M74" i="3"/>
  <c r="L74" i="3"/>
  <c r="U73" i="3"/>
  <c r="T73" i="3"/>
  <c r="S73" i="3"/>
  <c r="R73" i="3"/>
  <c r="Q73" i="3"/>
  <c r="P73" i="3"/>
  <c r="O73" i="3"/>
  <c r="N73" i="3"/>
  <c r="M73" i="3"/>
  <c r="L73" i="3"/>
  <c r="U72" i="3"/>
  <c r="T72" i="3"/>
  <c r="S72" i="3"/>
  <c r="R72" i="3"/>
  <c r="Q72" i="3"/>
  <c r="P72" i="3"/>
  <c r="O72" i="3"/>
  <c r="N72" i="3"/>
  <c r="M72" i="3"/>
  <c r="L72" i="3"/>
  <c r="U71" i="3"/>
  <c r="T71" i="3"/>
  <c r="S71" i="3"/>
  <c r="R71" i="3"/>
  <c r="Q71" i="3"/>
  <c r="P71" i="3"/>
  <c r="O71" i="3"/>
  <c r="N71" i="3"/>
  <c r="M71" i="3"/>
  <c r="L71" i="3"/>
  <c r="U70" i="3"/>
  <c r="T70" i="3"/>
  <c r="S70" i="3"/>
  <c r="R70" i="3"/>
  <c r="Q70" i="3"/>
  <c r="P70" i="3"/>
  <c r="O70" i="3"/>
  <c r="N70" i="3"/>
  <c r="M70" i="3"/>
  <c r="L70" i="3"/>
  <c r="U69" i="3"/>
  <c r="T69" i="3"/>
  <c r="S69" i="3"/>
  <c r="R69" i="3"/>
  <c r="Q69" i="3"/>
  <c r="P69" i="3"/>
  <c r="O69" i="3"/>
  <c r="N69" i="3"/>
  <c r="M69" i="3"/>
  <c r="L69" i="3"/>
  <c r="U68" i="3"/>
  <c r="T68" i="3"/>
  <c r="S68" i="3"/>
  <c r="R68" i="3"/>
  <c r="Q68" i="3"/>
  <c r="P68" i="3"/>
  <c r="O68" i="3"/>
  <c r="N68" i="3"/>
  <c r="M68" i="3"/>
  <c r="L68" i="3"/>
  <c r="U67" i="3"/>
  <c r="T67" i="3"/>
  <c r="S67" i="3"/>
  <c r="R67" i="3"/>
  <c r="Q67" i="3"/>
  <c r="P67" i="3"/>
  <c r="O67" i="3"/>
  <c r="N67" i="3"/>
  <c r="M67" i="3"/>
  <c r="L67" i="3"/>
  <c r="U66" i="3"/>
  <c r="T66" i="3"/>
  <c r="S66" i="3"/>
  <c r="R66" i="3"/>
  <c r="Q66" i="3"/>
  <c r="P66" i="3"/>
  <c r="O66" i="3"/>
  <c r="N66" i="3"/>
  <c r="M66" i="3"/>
  <c r="L66" i="3"/>
  <c r="U65" i="3"/>
  <c r="T65" i="3"/>
  <c r="S65" i="3"/>
  <c r="R65" i="3"/>
  <c r="Q65" i="3"/>
  <c r="P65" i="3"/>
  <c r="O65" i="3"/>
  <c r="N65" i="3"/>
  <c r="M65" i="3"/>
  <c r="L65" i="3"/>
  <c r="U64" i="3"/>
  <c r="T64" i="3"/>
  <c r="S64" i="3"/>
  <c r="R64" i="3"/>
  <c r="Q64" i="3"/>
  <c r="P64" i="3"/>
  <c r="O64" i="3"/>
  <c r="N64" i="3"/>
  <c r="M64" i="3"/>
  <c r="L64" i="3"/>
  <c r="U63" i="3"/>
  <c r="T63" i="3"/>
  <c r="S63" i="3"/>
  <c r="R63" i="3"/>
  <c r="Q63" i="3"/>
  <c r="P63" i="3"/>
  <c r="O63" i="3"/>
  <c r="N63" i="3"/>
  <c r="M63" i="3"/>
  <c r="L63" i="3"/>
  <c r="U62" i="3"/>
  <c r="T62" i="3"/>
  <c r="S62" i="3"/>
  <c r="R62" i="3"/>
  <c r="Q62" i="3"/>
  <c r="P62" i="3"/>
  <c r="O62" i="3"/>
  <c r="N62" i="3"/>
  <c r="M62" i="3"/>
  <c r="L62" i="3"/>
  <c r="U61" i="3"/>
  <c r="T61" i="3"/>
  <c r="S61" i="3"/>
  <c r="R61" i="3"/>
  <c r="Q61" i="3"/>
  <c r="P61" i="3"/>
  <c r="O61" i="3"/>
  <c r="N61" i="3"/>
  <c r="M61" i="3"/>
  <c r="L61" i="3"/>
  <c r="U60" i="3"/>
  <c r="T60" i="3"/>
  <c r="S60" i="3"/>
  <c r="R60" i="3"/>
  <c r="Q60" i="3"/>
  <c r="P60" i="3"/>
  <c r="O60" i="3"/>
  <c r="N60" i="3"/>
  <c r="M60" i="3"/>
  <c r="L60" i="3"/>
  <c r="U59" i="3"/>
  <c r="T59" i="3"/>
  <c r="S59" i="3"/>
  <c r="R59" i="3"/>
  <c r="Q59" i="3"/>
  <c r="P59" i="3"/>
  <c r="O59" i="3"/>
  <c r="N59" i="3"/>
  <c r="M59" i="3"/>
  <c r="L59" i="3"/>
  <c r="U58" i="3"/>
  <c r="T58" i="3"/>
  <c r="S58" i="3"/>
  <c r="R58" i="3"/>
  <c r="Q58" i="3"/>
  <c r="P58" i="3"/>
  <c r="O58" i="3"/>
  <c r="N58" i="3"/>
  <c r="M58" i="3"/>
  <c r="L58" i="3"/>
  <c r="U57" i="3"/>
  <c r="T57" i="3"/>
  <c r="S57" i="3"/>
  <c r="R57" i="3"/>
  <c r="Q57" i="3"/>
  <c r="P57" i="3"/>
  <c r="O57" i="3"/>
  <c r="N57" i="3"/>
  <c r="M57" i="3"/>
  <c r="L57" i="3"/>
  <c r="U56" i="3"/>
  <c r="T56" i="3"/>
  <c r="S56" i="3"/>
  <c r="R56" i="3"/>
  <c r="Q56" i="3"/>
  <c r="P56" i="3"/>
  <c r="O56" i="3"/>
  <c r="N56" i="3"/>
  <c r="M56" i="3"/>
  <c r="L56" i="3"/>
  <c r="U55" i="3"/>
  <c r="T55" i="3"/>
  <c r="S55" i="3"/>
  <c r="R55" i="3"/>
  <c r="Q55" i="3"/>
  <c r="P55" i="3"/>
  <c r="O55" i="3"/>
  <c r="N55" i="3"/>
  <c r="M55" i="3"/>
  <c r="L55" i="3"/>
  <c r="U54" i="3"/>
  <c r="T54" i="3"/>
  <c r="S54" i="3"/>
  <c r="R54" i="3"/>
  <c r="Q54" i="3"/>
  <c r="P54" i="3"/>
  <c r="O54" i="3"/>
  <c r="N54" i="3"/>
  <c r="M54" i="3"/>
  <c r="L54" i="3"/>
  <c r="U53" i="3"/>
  <c r="T53" i="3"/>
  <c r="S53" i="3"/>
  <c r="R53" i="3"/>
  <c r="Q53" i="3"/>
  <c r="P53" i="3"/>
  <c r="O53" i="3"/>
  <c r="N53" i="3"/>
  <c r="M53" i="3"/>
  <c r="L53" i="3"/>
  <c r="U52" i="3"/>
  <c r="T52" i="3"/>
  <c r="S52" i="3"/>
  <c r="R52" i="3"/>
  <c r="Q52" i="3"/>
  <c r="P52" i="3"/>
  <c r="O52" i="3"/>
  <c r="N52" i="3"/>
  <c r="M52" i="3"/>
  <c r="L52" i="3"/>
  <c r="U51" i="3"/>
  <c r="T51" i="3"/>
  <c r="S51" i="3"/>
  <c r="R51" i="3"/>
  <c r="Q51" i="3"/>
  <c r="P51" i="3"/>
  <c r="O51" i="3"/>
  <c r="N51" i="3"/>
  <c r="M51" i="3"/>
  <c r="L51" i="3"/>
  <c r="U50" i="3"/>
  <c r="T50" i="3"/>
  <c r="S50" i="3"/>
  <c r="R50" i="3"/>
  <c r="Q50" i="3"/>
  <c r="P50" i="3"/>
  <c r="O50" i="3"/>
  <c r="N50" i="3"/>
  <c r="M50" i="3"/>
  <c r="L50" i="3"/>
  <c r="U49" i="3"/>
  <c r="T49" i="3"/>
  <c r="S49" i="3"/>
  <c r="R49" i="3"/>
  <c r="Q49" i="3"/>
  <c r="P49" i="3"/>
  <c r="O49" i="3"/>
  <c r="N49" i="3"/>
  <c r="M49" i="3"/>
  <c r="L49" i="3"/>
  <c r="U48" i="3"/>
  <c r="T48" i="3"/>
  <c r="S48" i="3"/>
  <c r="R48" i="3"/>
  <c r="Q48" i="3"/>
  <c r="P48" i="3"/>
  <c r="O48" i="3"/>
  <c r="N48" i="3"/>
  <c r="M48" i="3"/>
  <c r="L48" i="3"/>
  <c r="U47" i="3"/>
  <c r="T47" i="3"/>
  <c r="S47" i="3"/>
  <c r="R47" i="3"/>
  <c r="Q47" i="3"/>
  <c r="P47" i="3"/>
  <c r="O47" i="3"/>
  <c r="N47" i="3"/>
  <c r="M47" i="3"/>
  <c r="L47" i="3"/>
  <c r="U46" i="3"/>
  <c r="T46" i="3"/>
  <c r="S46" i="3"/>
  <c r="R46" i="3"/>
  <c r="Q46" i="3"/>
  <c r="P46" i="3"/>
  <c r="O46" i="3"/>
  <c r="N46" i="3"/>
  <c r="M46" i="3"/>
  <c r="L46" i="3"/>
  <c r="U45" i="3"/>
  <c r="T45" i="3"/>
  <c r="S45" i="3"/>
  <c r="R45" i="3"/>
  <c r="Q45" i="3"/>
  <c r="P45" i="3"/>
  <c r="O45" i="3"/>
  <c r="N45" i="3"/>
  <c r="M45" i="3"/>
  <c r="L45" i="3"/>
  <c r="U44" i="3"/>
  <c r="T44" i="3"/>
  <c r="S44" i="3"/>
  <c r="R44" i="3"/>
  <c r="Q44" i="3"/>
  <c r="P44" i="3"/>
  <c r="O44" i="3"/>
  <c r="N44" i="3"/>
  <c r="M44" i="3"/>
  <c r="L44" i="3"/>
  <c r="U43" i="3"/>
  <c r="T43" i="3"/>
  <c r="S43" i="3"/>
  <c r="R43" i="3"/>
  <c r="Q43" i="3"/>
  <c r="P43" i="3"/>
  <c r="O43" i="3"/>
  <c r="N43" i="3"/>
  <c r="M43" i="3"/>
  <c r="L43" i="3"/>
  <c r="U42" i="3"/>
  <c r="T42" i="3"/>
  <c r="S42" i="3"/>
  <c r="R42" i="3"/>
  <c r="Q42" i="3"/>
  <c r="P42" i="3"/>
  <c r="O42" i="3"/>
  <c r="N42" i="3"/>
  <c r="M42" i="3"/>
  <c r="L42" i="3"/>
  <c r="U41" i="3"/>
  <c r="T41" i="3"/>
  <c r="S41" i="3"/>
  <c r="R41" i="3"/>
  <c r="Q41" i="3"/>
  <c r="P41" i="3"/>
  <c r="O41" i="3"/>
  <c r="N41" i="3"/>
  <c r="M41" i="3"/>
  <c r="L41" i="3"/>
  <c r="U40" i="3"/>
  <c r="T40" i="3"/>
  <c r="S40" i="3"/>
  <c r="R40" i="3"/>
  <c r="Q40" i="3"/>
  <c r="P40" i="3"/>
  <c r="O40" i="3"/>
  <c r="N40" i="3"/>
  <c r="M40" i="3"/>
  <c r="L40" i="3"/>
  <c r="U39" i="3"/>
  <c r="T39" i="3"/>
  <c r="S39" i="3"/>
  <c r="R39" i="3"/>
  <c r="Q39" i="3"/>
  <c r="P39" i="3"/>
  <c r="O39" i="3"/>
  <c r="N39" i="3"/>
  <c r="M39" i="3"/>
  <c r="L39" i="3"/>
  <c r="U38" i="3"/>
  <c r="T38" i="3"/>
  <c r="S38" i="3"/>
  <c r="R38" i="3"/>
  <c r="Q38" i="3"/>
  <c r="P38" i="3"/>
  <c r="O38" i="3"/>
  <c r="N38" i="3"/>
  <c r="M38" i="3"/>
  <c r="L38" i="3"/>
  <c r="U37" i="3"/>
  <c r="T37" i="3"/>
  <c r="S37" i="3"/>
  <c r="R37" i="3"/>
  <c r="Q37" i="3"/>
  <c r="P37" i="3"/>
  <c r="O37" i="3"/>
  <c r="N37" i="3"/>
  <c r="M37" i="3"/>
  <c r="L37" i="3"/>
  <c r="U36" i="3"/>
  <c r="T36" i="3"/>
  <c r="S36" i="3"/>
  <c r="R36" i="3"/>
  <c r="Q36" i="3"/>
  <c r="P36" i="3"/>
  <c r="O36" i="3"/>
  <c r="N36" i="3"/>
  <c r="M36" i="3"/>
  <c r="L36" i="3"/>
  <c r="U35" i="3"/>
  <c r="T35" i="3"/>
  <c r="S35" i="3"/>
  <c r="R35" i="3"/>
  <c r="Q35" i="3"/>
  <c r="P35" i="3"/>
  <c r="O35" i="3"/>
  <c r="N35" i="3"/>
  <c r="M35" i="3"/>
  <c r="L35" i="3"/>
  <c r="U34" i="3"/>
  <c r="T34" i="3"/>
  <c r="S34" i="3"/>
  <c r="R34" i="3"/>
  <c r="Q34" i="3"/>
  <c r="P34" i="3"/>
  <c r="O34" i="3"/>
  <c r="N34" i="3"/>
  <c r="M34" i="3"/>
  <c r="L34" i="3"/>
  <c r="U33" i="3"/>
  <c r="T33" i="3"/>
  <c r="S33" i="3"/>
  <c r="R33" i="3"/>
  <c r="Q33" i="3"/>
  <c r="P33" i="3"/>
  <c r="O33" i="3"/>
  <c r="N33" i="3"/>
  <c r="M33" i="3"/>
  <c r="L33" i="3"/>
  <c r="U32" i="3"/>
  <c r="T32" i="3"/>
  <c r="S32" i="3"/>
  <c r="R32" i="3"/>
  <c r="Q32" i="3"/>
  <c r="P32" i="3"/>
  <c r="O32" i="3"/>
  <c r="N32" i="3"/>
  <c r="M32" i="3"/>
  <c r="L32" i="3"/>
  <c r="U31" i="3"/>
  <c r="T31" i="3"/>
  <c r="S31" i="3"/>
  <c r="R31" i="3"/>
  <c r="Q31" i="3"/>
  <c r="P31" i="3"/>
  <c r="O31" i="3"/>
  <c r="N31" i="3"/>
  <c r="M31" i="3"/>
  <c r="L31" i="3"/>
  <c r="U30" i="3"/>
  <c r="T30" i="3"/>
  <c r="S30" i="3"/>
  <c r="R30" i="3"/>
  <c r="Q30" i="3"/>
  <c r="P30" i="3"/>
  <c r="O30" i="3"/>
  <c r="N30" i="3"/>
  <c r="M30" i="3"/>
  <c r="L30" i="3"/>
  <c r="U29" i="3"/>
  <c r="T29" i="3"/>
  <c r="S29" i="3"/>
  <c r="R29" i="3"/>
  <c r="Q29" i="3"/>
  <c r="P29" i="3"/>
  <c r="O29" i="3"/>
  <c r="N29" i="3"/>
  <c r="M29" i="3"/>
  <c r="L29" i="3"/>
  <c r="U28" i="3"/>
  <c r="T28" i="3"/>
  <c r="S28" i="3"/>
  <c r="R28" i="3"/>
  <c r="Q28" i="3"/>
  <c r="P28" i="3"/>
  <c r="O28" i="3"/>
  <c r="N28" i="3"/>
  <c r="M28" i="3"/>
  <c r="L28" i="3"/>
  <c r="U27" i="3"/>
  <c r="T27" i="3"/>
  <c r="S27" i="3"/>
  <c r="R27" i="3"/>
  <c r="Q27" i="3"/>
  <c r="P27" i="3"/>
  <c r="O27" i="3"/>
  <c r="N27" i="3"/>
  <c r="M27" i="3"/>
  <c r="L27" i="3"/>
  <c r="U26" i="3"/>
  <c r="T26" i="3"/>
  <c r="S26" i="3"/>
  <c r="R26" i="3"/>
  <c r="Q26" i="3"/>
  <c r="P26" i="3"/>
  <c r="O26" i="3"/>
  <c r="N26" i="3"/>
  <c r="M26" i="3"/>
  <c r="L26" i="3"/>
  <c r="U25" i="3"/>
  <c r="T25" i="3"/>
  <c r="S25" i="3"/>
  <c r="R25" i="3"/>
  <c r="Q25" i="3"/>
  <c r="P25" i="3"/>
  <c r="O25" i="3"/>
  <c r="N25" i="3"/>
  <c r="M25" i="3"/>
  <c r="L25" i="3"/>
  <c r="U24" i="3"/>
  <c r="T24" i="3"/>
  <c r="S24" i="3"/>
  <c r="R24" i="3"/>
  <c r="Q24" i="3"/>
  <c r="P24" i="3"/>
  <c r="O24" i="3"/>
  <c r="N24" i="3"/>
  <c r="M24" i="3"/>
  <c r="L24" i="3"/>
  <c r="U23" i="3"/>
  <c r="T23" i="3"/>
  <c r="S23" i="3"/>
  <c r="R23" i="3"/>
  <c r="Q23" i="3"/>
  <c r="P23" i="3"/>
  <c r="O23" i="3"/>
  <c r="N23" i="3"/>
  <c r="M23" i="3"/>
  <c r="L23" i="3"/>
  <c r="U22" i="3"/>
  <c r="T22" i="3"/>
  <c r="S22" i="3"/>
  <c r="R22" i="3"/>
  <c r="Q22" i="3"/>
  <c r="P22" i="3"/>
  <c r="O22" i="3"/>
  <c r="N22" i="3"/>
  <c r="M22" i="3"/>
  <c r="L22" i="3"/>
  <c r="U21" i="3"/>
  <c r="T21" i="3"/>
  <c r="S21" i="3"/>
  <c r="R21" i="3"/>
  <c r="Q21" i="3"/>
  <c r="P21" i="3"/>
  <c r="O21" i="3"/>
  <c r="N21" i="3"/>
  <c r="M21" i="3"/>
  <c r="L21" i="3"/>
  <c r="U20" i="3"/>
  <c r="T20" i="3"/>
  <c r="S20" i="3"/>
  <c r="R20" i="3"/>
  <c r="Q20" i="3"/>
  <c r="P20" i="3"/>
  <c r="O20" i="3"/>
  <c r="N20" i="3"/>
  <c r="M20" i="3"/>
  <c r="L20" i="3"/>
  <c r="U19" i="3"/>
  <c r="T19" i="3"/>
  <c r="S19" i="3"/>
  <c r="R19" i="3"/>
  <c r="Q19" i="3"/>
  <c r="P19" i="3"/>
  <c r="O19" i="3"/>
  <c r="N19" i="3"/>
  <c r="M19" i="3"/>
  <c r="L19" i="3"/>
  <c r="U18" i="3"/>
  <c r="T18" i="3"/>
  <c r="S18" i="3"/>
  <c r="R18" i="3"/>
  <c r="Q18" i="3"/>
  <c r="P18" i="3"/>
  <c r="O18" i="3"/>
  <c r="N18" i="3"/>
  <c r="M18" i="3"/>
  <c r="L18" i="3"/>
  <c r="U17" i="3"/>
  <c r="T17" i="3"/>
  <c r="S17" i="3"/>
  <c r="R17" i="3"/>
  <c r="Q17" i="3"/>
  <c r="P17" i="3"/>
  <c r="O17" i="3"/>
  <c r="N17" i="3"/>
  <c r="M17" i="3"/>
  <c r="L17" i="3"/>
  <c r="U16" i="3"/>
  <c r="T16" i="3"/>
  <c r="S16" i="3"/>
  <c r="R16" i="3"/>
  <c r="Q16" i="3"/>
  <c r="P16" i="3"/>
  <c r="O16" i="3"/>
  <c r="N16" i="3"/>
  <c r="M16" i="3"/>
  <c r="L16" i="3"/>
  <c r="U15" i="3"/>
  <c r="T15" i="3"/>
  <c r="S15" i="3"/>
  <c r="R15" i="3"/>
  <c r="Q15" i="3"/>
  <c r="P15" i="3"/>
  <c r="O15" i="3"/>
  <c r="N15" i="3"/>
  <c r="M15" i="3"/>
  <c r="L15" i="3"/>
  <c r="U14" i="3"/>
  <c r="T14" i="3"/>
  <c r="S14" i="3"/>
  <c r="R14" i="3"/>
  <c r="Q14" i="3"/>
  <c r="P14" i="3"/>
  <c r="O14" i="3"/>
  <c r="N14" i="3"/>
  <c r="M14" i="3"/>
  <c r="L14" i="3"/>
  <c r="U13" i="3"/>
  <c r="T13" i="3"/>
  <c r="S13" i="3"/>
  <c r="R13" i="3"/>
  <c r="Q13" i="3"/>
  <c r="P13" i="3"/>
  <c r="O13" i="3"/>
  <c r="N13" i="3"/>
  <c r="M13" i="3"/>
  <c r="L13" i="3"/>
  <c r="U12" i="3"/>
  <c r="T12" i="3"/>
  <c r="S12" i="3"/>
  <c r="R12" i="3"/>
  <c r="Q12" i="3"/>
  <c r="P12" i="3"/>
  <c r="O12" i="3"/>
  <c r="N12" i="3"/>
  <c r="M12" i="3"/>
  <c r="L12" i="3"/>
  <c r="U11" i="3"/>
  <c r="T11" i="3"/>
  <c r="S11" i="3"/>
  <c r="R11" i="3"/>
  <c r="Q11" i="3"/>
  <c r="P11" i="3"/>
  <c r="O11" i="3"/>
  <c r="N11" i="3"/>
  <c r="M11" i="3"/>
  <c r="L11" i="3"/>
  <c r="U10" i="3"/>
  <c r="T10" i="3"/>
  <c r="S10" i="3"/>
  <c r="R10" i="3"/>
  <c r="Q10" i="3"/>
  <c r="P10" i="3"/>
  <c r="O10" i="3"/>
  <c r="N10" i="3"/>
  <c r="M10" i="3"/>
  <c r="L10" i="3"/>
  <c r="U9" i="3"/>
  <c r="T9" i="3"/>
  <c r="S9" i="3"/>
  <c r="R9" i="3"/>
  <c r="Q9" i="3"/>
  <c r="P9" i="3"/>
  <c r="O9" i="3"/>
  <c r="N9" i="3"/>
  <c r="M9" i="3"/>
  <c r="L9" i="3"/>
  <c r="U8" i="3"/>
  <c r="T8" i="3"/>
  <c r="S8" i="3"/>
  <c r="R8" i="3"/>
  <c r="Q8" i="3"/>
  <c r="P8" i="3"/>
  <c r="O8" i="3"/>
  <c r="N8" i="3"/>
  <c r="M8" i="3"/>
  <c r="L8" i="3"/>
  <c r="U7" i="3"/>
  <c r="T7" i="3"/>
  <c r="S7" i="3"/>
  <c r="R7" i="3"/>
  <c r="Q7" i="3"/>
  <c r="P7" i="3"/>
  <c r="O7" i="3"/>
  <c r="N7" i="3"/>
  <c r="M7" i="3"/>
  <c r="L7" i="3"/>
  <c r="U6" i="3"/>
  <c r="T6" i="3"/>
  <c r="S6" i="3"/>
  <c r="R6" i="3"/>
  <c r="Q6" i="3"/>
  <c r="P6" i="3"/>
  <c r="O6" i="3"/>
  <c r="N6" i="3"/>
  <c r="M6" i="3"/>
  <c r="L6" i="3"/>
  <c r="U5" i="3"/>
  <c r="T5" i="3"/>
  <c r="S5" i="3"/>
  <c r="R5" i="3"/>
  <c r="Q5" i="3"/>
  <c r="P5" i="3"/>
  <c r="O5" i="3"/>
  <c r="N5" i="3"/>
  <c r="M5" i="3"/>
  <c r="L5" i="3"/>
  <c r="U4" i="3"/>
  <c r="T4" i="3"/>
  <c r="S4" i="3"/>
  <c r="R4" i="3"/>
  <c r="Q4" i="3"/>
  <c r="P4" i="3"/>
  <c r="O4" i="3"/>
  <c r="N4" i="3"/>
  <c r="M4" i="3"/>
  <c r="L4" i="3"/>
  <c r="U3" i="3"/>
  <c r="T3" i="3"/>
  <c r="S3" i="3"/>
  <c r="R3" i="3"/>
  <c r="Q3" i="3"/>
  <c r="P3" i="3"/>
  <c r="O3" i="3"/>
  <c r="N3" i="3"/>
  <c r="M3" i="3"/>
  <c r="L3" i="3"/>
  <c r="U2" i="3"/>
  <c r="T2" i="3"/>
  <c r="S2" i="3"/>
  <c r="R2" i="3"/>
  <c r="Q2" i="3"/>
  <c r="P2" i="3"/>
  <c r="O2" i="3"/>
  <c r="N2" i="3"/>
  <c r="M2" i="3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C611BE-DB30-394E-AE80-8A45EC660352}" name="author_profiles" type="6" refreshedVersion="8" background="1" saveData="1">
    <textPr codePage="10000" sourceFile="/Users/aldogangemi/Dropbox/Koi/Docs_Work/Articoli/Mandalari/newbatchanalysis/data4clustering/AdvancedClusteringCode_Report_Graphics/advcompclust_withthematicclusters_authors/author_profiles.csv" tab="0" comma="1">
      <textFields count="65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9E244FD-0B87-884B-A292-FF07F14B039C}" name="author_summary_with_doc_clusters" type="6" refreshedVersion="8" background="1" saveData="1">
    <textPr codePage="10000" sourceFile="/Users/aldogangemi/Dropbox/Koi/Docs_Work/Articoli/Mandalari/newbatchanalysis/data4clustering/AdvancedClusteringCode_Report_Graphics/advcompclust_withthematicclusters_authors/author_summary_with_doc_clusters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5E36A405-6F29-DA43-BAC0-CFB7B5ED52C1}" name="cluster_thematic_profiles_ALL_FRAMES" type="6" refreshedVersion="8" background="1" saveData="1">
    <textPr codePage="10000" sourceFile="/Users/aldogangemi/Dropbox/Koi/Docs_Work/Articoli/Mandalari/newbatchanalysis/data4clustering/AdvancedClusteringCode_Report_Graphics/advcompclust_withthematicclusters_authors/cluster_thematic_profiles_ALL_FRAME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C3CB802E-19D0-694C-BF7C-B977C5D37E97}" name="cluster_thematic_profiles_ALL_FRAMES1" type="6" refreshedVersion="8" background="1" saveData="1">
    <textPr codePage="10000" sourceFile="/Users/aldogangemi/Dropbox/Koi/Docs_Work/Articoli/Mandalari/newbatchanalysis/data4clustering/AdvancedClusteringCode_Report_Graphics/advcompclust_withthematicclusters_authors/cluster_thematic_profiles_ALL_FRAME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<sst xmlns="http://schemas.openxmlformats.org/spreadsheetml/2006/main" count="2040" uniqueCount="1090">
  <si>
    <t>Author</t>
  </si>
  <si>
    <t>Occupation</t>
  </si>
  <si>
    <t>Generic_Occupation</t>
  </si>
  <si>
    <t>Main_Diagnosis</t>
  </si>
  <si>
    <t>Generic_DSM5_Category</t>
  </si>
  <si>
    <t>n_documents</t>
  </si>
  <si>
    <t>F_BKG_FL</t>
  </si>
  <si>
    <t>F_BKG_FX</t>
  </si>
  <si>
    <t>F_BKG_NO</t>
  </si>
  <si>
    <t>F_BKG_EL</t>
  </si>
  <si>
    <t>F_BKL_FL</t>
  </si>
  <si>
    <t>F_BKL_FX</t>
  </si>
  <si>
    <t>F_BKL_NO</t>
  </si>
  <si>
    <t>F_BKL_EL</t>
  </si>
  <si>
    <t>S_BKG_FL</t>
  </si>
  <si>
    <t>S_BKG_FX</t>
  </si>
  <si>
    <t>S_BKG_NO</t>
  </si>
  <si>
    <t>S_BKG_EL</t>
  </si>
  <si>
    <t>S_BKL_FL</t>
  </si>
  <si>
    <t>S_BKL_FX</t>
  </si>
  <si>
    <t>S_BKL_NO</t>
  </si>
  <si>
    <t>S_BKL_EL</t>
  </si>
  <si>
    <t>Creativity_z</t>
  </si>
  <si>
    <t>Creativity_minmax_z</t>
  </si>
  <si>
    <t>F_BKG_FL_std</t>
  </si>
  <si>
    <t>F_BKG_FX_std</t>
  </si>
  <si>
    <t>F_BKG_NO_std</t>
  </si>
  <si>
    <t>F_BKG_EL_std</t>
  </si>
  <si>
    <t>F_BKL_FL_std</t>
  </si>
  <si>
    <t>F_BKL_FX_std</t>
  </si>
  <si>
    <t>F_BKL_NO_std</t>
  </si>
  <si>
    <t>F_BKL_EL_std</t>
  </si>
  <si>
    <t>S_BKG_FL_std</t>
  </si>
  <si>
    <t>S_BKG_FX_std</t>
  </si>
  <si>
    <t>S_BKG_NO_std</t>
  </si>
  <si>
    <t>S_BKG_EL_std</t>
  </si>
  <si>
    <t>S_BKL_FL_std</t>
  </si>
  <si>
    <t>S_BKL_FX_std</t>
  </si>
  <si>
    <t>S_BKL_NO_std</t>
  </si>
  <si>
    <t>S_BKL_EL_std</t>
  </si>
  <si>
    <t>Creativity_z_std</t>
  </si>
  <si>
    <t>Creativity_minmax_z_std</t>
  </si>
  <si>
    <t>Authoriality_Systematicity</t>
  </si>
  <si>
    <t>Authoriality_Fragmentation</t>
  </si>
  <si>
    <t>Authoriality_RhetoricalAwareness</t>
  </si>
  <si>
    <t>Authoriality_PrivateExpression</t>
  </si>
  <si>
    <t>Authoriality_MetaphoricalControl</t>
  </si>
  <si>
    <t>Authoriality_LiteralBelief</t>
  </si>
  <si>
    <t>Authoriality_WAAS</t>
  </si>
  <si>
    <t>Authoriality_WAAS_minmax</t>
  </si>
  <si>
    <t>Authoriality_Systematicity_std</t>
  </si>
  <si>
    <t>Authoriality_Fragmentation_std</t>
  </si>
  <si>
    <t>Authoriality_RhetoricalAwareness_std</t>
  </si>
  <si>
    <t>Authoriality_PrivateExpression_std</t>
  </si>
  <si>
    <t>Authoriality_MetaphoricalControl_std</t>
  </si>
  <si>
    <t>Authoriality_LiteralBelief_std</t>
  </si>
  <si>
    <t>Authoriality_WAAS_std</t>
  </si>
  <si>
    <t>Authoriality_WAAS_minmax_std</t>
  </si>
  <si>
    <t>Abandonment</t>
  </si>
  <si>
    <t>Academic_Scientific_Jargon</t>
  </si>
  <si>
    <t>Accusation</t>
  </si>
  <si>
    <t>Accusation (sexual assault)</t>
  </si>
  <si>
    <t>Accusation (sexual misconduct)</t>
  </si>
  <si>
    <t>Ambition/Employment Request</t>
  </si>
  <si>
    <t>Ambition/Planning</t>
  </si>
  <si>
    <t>Anger_Profanity</t>
  </si>
  <si>
    <t>Anti-clericalism</t>
  </si>
  <si>
    <t>Anti-fascism</t>
  </si>
  <si>
    <t>Anti-monarchy</t>
  </si>
  <si>
    <t>Anti-religious Sentiment</t>
  </si>
  <si>
    <t>Anti_religious_Sentiment</t>
  </si>
  <si>
    <t>Apology</t>
  </si>
  <si>
    <t>Appeal to Authority</t>
  </si>
  <si>
    <t>Appeal to Authority (legal)</t>
  </si>
  <si>
    <t>Appeal to Authority (military)</t>
  </si>
  <si>
    <t>Appeal to Authority (royal)</t>
  </si>
  <si>
    <t>Appeal_to_Authority</t>
  </si>
  <si>
    <t>Appeal_to_Authority_military</t>
  </si>
  <si>
    <t>Asceticism/Religious Vow</t>
  </si>
  <si>
    <t>Autobiographical Account</t>
  </si>
  <si>
    <t>Autobiographical Account (disjointed)</t>
  </si>
  <si>
    <t>Betrayal</t>
  </si>
  <si>
    <t>Bizarre Delusions</t>
  </si>
  <si>
    <t>Bizarre Scientific Theories</t>
  </si>
  <si>
    <t>Bizarre/Obsessive Instructions</t>
  </si>
  <si>
    <t>Bizarre/Scatological Humor</t>
  </si>
  <si>
    <t>Brain-centered Delusion</t>
  </si>
  <si>
    <t>Bureaucratic Concerns</t>
  </si>
  <si>
    <t>Bureaucratic Request</t>
  </si>
  <si>
    <t>Bureaucratic_Request</t>
  </si>
  <si>
    <t>Calculated Aggression</t>
  </si>
  <si>
    <t>Civic Address</t>
  </si>
  <si>
    <t>Coded Language</t>
  </si>
  <si>
    <t>Complaint</t>
  </si>
  <si>
    <t>Complaint/Accusation</t>
  </si>
  <si>
    <t>Complaint/Financial Dispute</t>
  </si>
  <si>
    <t>Complaint_Accusation</t>
  </si>
  <si>
    <t>Confession</t>
  </si>
  <si>
    <t>Confession (murder)</t>
  </si>
  <si>
    <t>Confession/Request for Confinement</t>
  </si>
  <si>
    <t>Conflict with Authority</t>
  </si>
  <si>
    <t>Conspiracy</t>
  </si>
  <si>
    <t>Conspiracy (Police/Military)</t>
  </si>
  <si>
    <t>Conspiracy (Vatican)</t>
  </si>
  <si>
    <t>Conspiracy (familial, political)</t>
  </si>
  <si>
    <t>Conspiracy (government agents)</t>
  </si>
  <si>
    <t>Conspiracy (murder)</t>
  </si>
  <si>
    <t>Conspiracy (political)</t>
  </si>
  <si>
    <t>Conspiracy (political, mystical)</t>
  </si>
  <si>
    <t>Conspiracy (sexual)</t>
  </si>
  <si>
    <t>Conspiracy (state, judiciary)</t>
  </si>
  <si>
    <t>Conspiracy_political</t>
  </si>
  <si>
    <t>Cosmological/Creation Myth</t>
  </si>
  <si>
    <t>Creative Writing (drama)</t>
  </si>
  <si>
    <t>Cryptic Message/SOS</t>
  </si>
  <si>
    <t>Cryptic Statements</t>
  </si>
  <si>
    <t>Cryptic/Symbolic Poetry</t>
  </si>
  <si>
    <t>Death_Funerary_Themes</t>
  </si>
  <si>
    <t>Delusional Autobiography</t>
  </si>
  <si>
    <t>Delusional Memory</t>
  </si>
  <si>
    <t>Delusional Planning</t>
  </si>
  <si>
    <t>Derealization</t>
  </si>
  <si>
    <t>Despair</t>
  </si>
  <si>
    <t>Enigmatography</t>
  </si>
  <si>
    <t>Erotomanic Delusion</t>
  </si>
  <si>
    <t>Erotomanic/Romantic Ideation</t>
  </si>
  <si>
    <t>Espionage</t>
  </si>
  <si>
    <t>Fable/Storytelling</t>
  </si>
  <si>
    <t>Family Appeal</t>
  </si>
  <si>
    <t>Family Concerns</t>
  </si>
  <si>
    <t>Family Conflict</t>
  </si>
  <si>
    <t>Family Correspondence</t>
  </si>
  <si>
    <t>Family Separation</t>
  </si>
  <si>
    <t>Family Tragedy (murder)</t>
  </si>
  <si>
    <t>Family Tragedy (rape)</t>
  </si>
  <si>
    <t>Family_Appeal</t>
  </si>
  <si>
    <t>Family_Conflict</t>
  </si>
  <si>
    <t>Family_Separation</t>
  </si>
  <si>
    <t>Family_Tragedy_murder</t>
  </si>
  <si>
    <t>Fantastical/Mythological Journey</t>
  </si>
  <si>
    <t>Fear for Family</t>
  </si>
  <si>
    <t>Fear/Anxiety</t>
  </si>
  <si>
    <t>Financial Concerns</t>
  </si>
  <si>
    <t>Financial Demands</t>
  </si>
  <si>
    <t>Financial Dispute</t>
  </si>
  <si>
    <t>Financial Request</t>
  </si>
  <si>
    <t>Financial/Bureaucratic Request</t>
  </si>
  <si>
    <t>Financial/Legal Demand</t>
  </si>
  <si>
    <t>Financial_Concerns</t>
  </si>
  <si>
    <t>Fixation on a Person</t>
  </si>
  <si>
    <t>Framing</t>
  </si>
  <si>
    <t>Grandiose Delusion (Apostle)</t>
  </si>
  <si>
    <t>Grandiose Delusions</t>
  </si>
  <si>
    <t>Grandiose Delusions (Omnipotence)</t>
  </si>
  <si>
    <t>Grandiose Delusions (Omniscience)</t>
  </si>
  <si>
    <t>Grandiose Delusions (Professor of Occult Sciences)</t>
  </si>
  <si>
    <t>Grandiose Delusions (Royalty)</t>
  </si>
  <si>
    <t>Grandiose Delusions (Royalty, inheritance)</t>
  </si>
  <si>
    <t>Grandiose Delusions (Social Commentary)</t>
  </si>
  <si>
    <t>Grandiose Delusions (artistic success)</t>
  </si>
  <si>
    <t>Grandiose Delusions (diabolical)</t>
  </si>
  <si>
    <t>Grandiose Delusions (discovery, invention)</t>
  </si>
  <si>
    <t>Grandiose Delusions (divine inspiration)</t>
  </si>
  <si>
    <t>Grandiose Delusions (erotomanic)</t>
  </si>
  <si>
    <t>Grandiose Delusions (filmmaker)</t>
  </si>
  <si>
    <t>Grandiose Delusions (financial, political)</t>
  </si>
  <si>
    <t>Grandiose Delusions (military)</t>
  </si>
  <si>
    <t>Grandiose Delusions (military, royal)</t>
  </si>
  <si>
    <t>Grandiose Delusions (military, royal, erotomanic)</t>
  </si>
  <si>
    <t>Grandiose Delusions (miraculous powers)</t>
  </si>
  <si>
    <t>Grandiose Delusions (philanthropic)</t>
  </si>
  <si>
    <t>Grandiose Delusions (physical appearance)</t>
  </si>
  <si>
    <t>Grandiose Delusions (reincarnation, historical)</t>
  </si>
  <si>
    <t>Grandiose Delusions (royal, financial)</t>
  </si>
  <si>
    <t>Grandiose Delusions (secret agent)</t>
  </si>
  <si>
    <t>Grandiose Delusions (space travel/astronauts)</t>
  </si>
  <si>
    <t>Grandiose/Confused Identity</t>
  </si>
  <si>
    <t>Grandiose/Religious Delusion (condemnation)</t>
  </si>
  <si>
    <t>Grandiose/Religious Delusion (royal condemnation)</t>
  </si>
  <si>
    <t>Grandiose_Delusions</t>
  </si>
  <si>
    <t>Grandiose_Delusions_Royalty</t>
  </si>
  <si>
    <t>Grandiose_Delusions_Royalty_Wealth</t>
  </si>
  <si>
    <t>Gratitude</t>
  </si>
  <si>
    <t>Hallucination (violent vision)</t>
  </si>
  <si>
    <t>Hallucinations (auditory)</t>
  </si>
  <si>
    <t>Hallucinations (visual)</t>
  </si>
  <si>
    <t>Hallucinations (visual, auditory)</t>
  </si>
  <si>
    <t>Hallucinations/Delusional Memories</t>
  </si>
  <si>
    <t>Hallucinations_auditory</t>
  </si>
  <si>
    <t>Hierarchy/Order</t>
  </si>
  <si>
    <t>Hierarchy_Order</t>
  </si>
  <si>
    <t>Historical Setting</t>
  </si>
  <si>
    <t>Hope for Recovery</t>
  </si>
  <si>
    <t>Hope for Release</t>
  </si>
  <si>
    <t>Hospital Setting</t>
  </si>
  <si>
    <t>Hospital_Setting</t>
  </si>
  <si>
    <t>Impending Death</t>
  </si>
  <si>
    <t>Imprisonment/Confinement</t>
  </si>
  <si>
    <t>Imprisonment/Confinement (torture)</t>
  </si>
  <si>
    <t>Imprisonment_Confinement</t>
  </si>
  <si>
    <t>Incoherent Statement</t>
  </si>
  <si>
    <t>Incoherent/Numerical</t>
  </si>
  <si>
    <t>Incoherent/Word Salad</t>
  </si>
  <si>
    <t>Incoherent_Glossolalia</t>
  </si>
  <si>
    <t>Incoherent_Repetitive_Language</t>
  </si>
  <si>
    <t>Insult/Aggression</t>
  </si>
  <si>
    <t>Insults</t>
  </si>
  <si>
    <t>Inter_patient_Conflict</t>
  </si>
  <si>
    <t>Invention</t>
  </si>
  <si>
    <t>Kidnapping</t>
  </si>
  <si>
    <t>Legal/Bureaucratic Document</t>
  </si>
  <si>
    <t>Legal/Punitive Fantasy</t>
  </si>
  <si>
    <t>Legal/Testamentary</t>
  </si>
  <si>
    <t>Letter to Wife</t>
  </si>
  <si>
    <t>Logical/Philosophical Reasoning</t>
  </si>
  <si>
    <t>Logical_Reasoning_from_Delusion</t>
  </si>
  <si>
    <t>Longing for Normalcy</t>
  </si>
  <si>
    <t>Longing_for_Normalcy</t>
  </si>
  <si>
    <t>Love/Romance</t>
  </si>
  <si>
    <t>Love_Betrayal</t>
  </si>
  <si>
    <t>Love_Romance</t>
  </si>
  <si>
    <t>Marital Conflict</t>
  </si>
  <si>
    <t>Marital Conflict/Infidelity (incest)</t>
  </si>
  <si>
    <t>Marital_Conflict_Jealousy</t>
  </si>
  <si>
    <t>Medical Concerns</t>
  </si>
  <si>
    <t>Medical Treatment</t>
  </si>
  <si>
    <t>Medical Treatment (ECT)</t>
  </si>
  <si>
    <t>Medical/Psychiatric History</t>
  </si>
  <si>
    <t>Medical/Psychological History</t>
  </si>
  <si>
    <t>Medical_Hospital_Setting</t>
  </si>
  <si>
    <t>Mild Incoherence</t>
  </si>
  <si>
    <t>Military/Patriotism</t>
  </si>
  <si>
    <t>Mission</t>
  </si>
  <si>
    <t>Mistreatment</t>
  </si>
  <si>
    <t>Mistrust of Doctors</t>
  </si>
  <si>
    <t>Mystical/Astrological Prediction</t>
  </si>
  <si>
    <t>Mystical/Cosmological Themes</t>
  </si>
  <si>
    <t>Mystical/Occult Beliefs</t>
  </si>
  <si>
    <t>Mystical/Religious Delusions</t>
  </si>
  <si>
    <t>Mystical_Religious_Delusions</t>
  </si>
  <si>
    <t>Mystical_Visionary_Experience</t>
  </si>
  <si>
    <t>Narrative/Storytelling</t>
  </si>
  <si>
    <t>Neglect_Abandonment</t>
  </si>
  <si>
    <t>Neologisms</t>
  </si>
  <si>
    <t>Numerology</t>
  </si>
  <si>
    <t>Official Report</t>
  </si>
  <si>
    <t>Patriotism</t>
  </si>
  <si>
    <t>Persecution</t>
  </si>
  <si>
    <t>Persecution (by doctors)</t>
  </si>
  <si>
    <t>Persecution (minor)</t>
  </si>
  <si>
    <t>Persecution (political)</t>
  </si>
  <si>
    <t>Persecution (social)</t>
  </si>
  <si>
    <t>Persecution/Torture</t>
  </si>
  <si>
    <t>Persecution_bizarre</t>
  </si>
  <si>
    <t>Persecutory Ideation</t>
  </si>
  <si>
    <t>Personal_Honor</t>
  </si>
  <si>
    <t>Philosophical Influence</t>
  </si>
  <si>
    <t>Philosophical Reflection</t>
  </si>
  <si>
    <t>Philosophical_Reflection</t>
  </si>
  <si>
    <t>Plea for Release</t>
  </si>
  <si>
    <t>Plea for Release/Employment</t>
  </si>
  <si>
    <t>Poetic Expression</t>
  </si>
  <si>
    <t>Poetic Expression (Acrostic)</t>
  </si>
  <si>
    <t>Poetic Expression/Songwriting</t>
  </si>
  <si>
    <t>Poetic_Reflection</t>
  </si>
  <si>
    <t>Poisoning</t>
  </si>
  <si>
    <t>Poisoning_Contamination</t>
  </si>
  <si>
    <t>Political Identity</t>
  </si>
  <si>
    <t>Political Praise (Fascism)</t>
  </si>
  <si>
    <t>Political Praise (Monarchy)</t>
  </si>
  <si>
    <t>Political Rebellion/Threat</t>
  </si>
  <si>
    <t>Political Satire</t>
  </si>
  <si>
    <t>Political Statement</t>
  </si>
  <si>
    <t>Political Statement (anti-fascist)</t>
  </si>
  <si>
    <t>Political Themes</t>
  </si>
  <si>
    <t>Political/Military Themes</t>
  </si>
  <si>
    <t>Political_Commentary</t>
  </si>
  <si>
    <t>Political_Praise_Fascism</t>
  </si>
  <si>
    <t>Political_Praise_Monarchy</t>
  </si>
  <si>
    <t>Prayer/Religious Expression</t>
  </si>
  <si>
    <t>Prophecy_Revelation</t>
  </si>
  <si>
    <t>Protest</t>
  </si>
  <si>
    <t>Protest (hunger strike)</t>
  </si>
  <si>
    <t>Proverbial Wisdom</t>
  </si>
  <si>
    <t>Religious Mania</t>
  </si>
  <si>
    <t>Religious Themes</t>
  </si>
  <si>
    <t>Religious/Mystical Delusion</t>
  </si>
  <si>
    <t>Religious/Philosophical Reflection</t>
  </si>
  <si>
    <t>Religious_Blasphemy</t>
  </si>
  <si>
    <t>Religious_Crisis</t>
  </si>
  <si>
    <t>Religious_Delusions</t>
  </si>
  <si>
    <t>Religious_Delusions_Erotomanic</t>
  </si>
  <si>
    <t>Religious_Mystical_Delusions</t>
  </si>
  <si>
    <t>Religious_Themes</t>
  </si>
  <si>
    <t>Report/Complaint</t>
  </si>
  <si>
    <t>Revenge</t>
  </si>
  <si>
    <t>Revenge_Vindication</t>
  </si>
  <si>
    <t>Romance/Nostalgia</t>
  </si>
  <si>
    <t>Self-awareness/Insight</t>
  </si>
  <si>
    <t>Self-awareness/Justification</t>
  </si>
  <si>
    <t>Self-defense (legalistic)</t>
  </si>
  <si>
    <t>Self-defense/Justification</t>
  </si>
  <si>
    <t>Self-justification</t>
  </si>
  <si>
    <t>Self-justification/Explanation</t>
  </si>
  <si>
    <t>Sexual Assault/Rape</t>
  </si>
  <si>
    <t>Sexual Delusions/Assault</t>
  </si>
  <si>
    <t>Sexual Identity Concerns</t>
  </si>
  <si>
    <t>Sexual/Gender Identity Delusions</t>
  </si>
  <si>
    <t>Sexual/Genital Delusions</t>
  </si>
  <si>
    <t>Sexual_Delusions</t>
  </si>
  <si>
    <t>Simple Correspondence</t>
  </si>
  <si>
    <t>Simple Request</t>
  </si>
  <si>
    <t>Simple_Request</t>
  </si>
  <si>
    <t>Social Commentary</t>
  </si>
  <si>
    <t>Social Conflict</t>
  </si>
  <si>
    <t>Social Critique</t>
  </si>
  <si>
    <t>Social Critique (of the asylum system)</t>
  </si>
  <si>
    <t>Social Disgrace</t>
  </si>
  <si>
    <t>Social Injustice</t>
  </si>
  <si>
    <t>Social_Commentary</t>
  </si>
  <si>
    <t>Social_Correspondence</t>
  </si>
  <si>
    <t>Social_Disgrace</t>
  </si>
  <si>
    <t>Somatic Complaint</t>
  </si>
  <si>
    <t>Somatic Complaints</t>
  </si>
  <si>
    <t>Somatic Delusions</t>
  </si>
  <si>
    <t>Somatic_Complaints</t>
  </si>
  <si>
    <t>Somatic_Delusions</t>
  </si>
  <si>
    <t>Suffering</t>
  </si>
  <si>
    <t>Suicide Attempt</t>
  </si>
  <si>
    <t>Surveillance (microphones)</t>
  </si>
  <si>
    <t>Symbolic Action</t>
  </si>
  <si>
    <t>Technical_Jargon_Neologisms</t>
  </si>
  <si>
    <t>Technology as Explanation for Delusions</t>
  </si>
  <si>
    <t>Technology as Persecution</t>
  </si>
  <si>
    <t>Technology as Persecution (Television)</t>
  </si>
  <si>
    <t>Theft</t>
  </si>
  <si>
    <t>Thought Influence</t>
  </si>
  <si>
    <t>Thought Influence/Control (technology)</t>
  </si>
  <si>
    <t>Thought Influence/Interception</t>
  </si>
  <si>
    <t>Thought Influence/Transmission</t>
  </si>
  <si>
    <t>Thought_Energy_Influence</t>
  </si>
  <si>
    <t>Thought_Influence_Transmission</t>
  </si>
  <si>
    <t>Threatening Language</t>
  </si>
  <si>
    <t>Threats</t>
  </si>
  <si>
    <t>Torture</t>
  </si>
  <si>
    <t>Torture (X-rays)</t>
  </si>
  <si>
    <t>Torture (rays)</t>
  </si>
  <si>
    <t>Vindication/Justice</t>
  </si>
  <si>
    <t>Vindication/Justice (self-incriminating)</t>
  </si>
  <si>
    <t>Vindication_Justice</t>
  </si>
  <si>
    <t>Violence (victim)</t>
  </si>
  <si>
    <t>War</t>
  </si>
  <si>
    <t>War Experience</t>
  </si>
  <si>
    <t>War Experience (WWI)</t>
  </si>
  <si>
    <t>War_Experience_WWI</t>
  </si>
  <si>
    <t>War_Themes_WWII</t>
  </si>
  <si>
    <t>Wordplay/Linguistic Curiosity</t>
  </si>
  <si>
    <t>mean_Abandonment</t>
  </si>
  <si>
    <t>mean_Academic_Scientific_Jargon</t>
  </si>
  <si>
    <t>mean_Accusation</t>
  </si>
  <si>
    <t>mean_Accusation (sexual assault)</t>
  </si>
  <si>
    <t>mean_Accusation (sexual misconduct)</t>
  </si>
  <si>
    <t>mean_Ambition/Employment Request</t>
  </si>
  <si>
    <t>mean_Ambition/Planning</t>
  </si>
  <si>
    <t>mean_Anger_Profanity</t>
  </si>
  <si>
    <t>mean_Anti-clericalism</t>
  </si>
  <si>
    <t>mean_Anti-fascism</t>
  </si>
  <si>
    <t>mean_Anti-monarchy</t>
  </si>
  <si>
    <t>mean_Anti-religious Sentiment</t>
  </si>
  <si>
    <t>mean_Anti_religious_Sentiment</t>
  </si>
  <si>
    <t>mean_Apology</t>
  </si>
  <si>
    <t>mean_Appeal to Authority</t>
  </si>
  <si>
    <t>mean_Appeal to Authority (legal)</t>
  </si>
  <si>
    <t>mean_Appeal to Authority (military)</t>
  </si>
  <si>
    <t>mean_Appeal to Authority (royal)</t>
  </si>
  <si>
    <t>mean_Appeal_to_Authority</t>
  </si>
  <si>
    <t>mean_Appeal_to_Authority_military</t>
  </si>
  <si>
    <t>mean_Asceticism/Religious Vow</t>
  </si>
  <si>
    <t>mean_Autobiographical Account</t>
  </si>
  <si>
    <t>mean_Autobiographical Account (disjointed)</t>
  </si>
  <si>
    <t>mean_Betrayal</t>
  </si>
  <si>
    <t>mean_Bizarre Delusions</t>
  </si>
  <si>
    <t>mean_Bizarre Scientific Theories</t>
  </si>
  <si>
    <t>mean_Bizarre/Obsessive Instructions</t>
  </si>
  <si>
    <t>mean_Bizarre/Scatological Humor</t>
  </si>
  <si>
    <t>mean_Brain-centered Delusion</t>
  </si>
  <si>
    <t>mean_Bureaucratic Concerns</t>
  </si>
  <si>
    <t>mean_Bureaucratic Request</t>
  </si>
  <si>
    <t>mean_Bureaucratic_Request</t>
  </si>
  <si>
    <t>mean_Calculated Aggression</t>
  </si>
  <si>
    <t>mean_Civic Address</t>
  </si>
  <si>
    <t>mean_Coded Language</t>
  </si>
  <si>
    <t>mean_Complaint</t>
  </si>
  <si>
    <t>mean_Complaint/Accusation</t>
  </si>
  <si>
    <t>mean_Complaint/Financial Dispute</t>
  </si>
  <si>
    <t>mean_Complaint_Accusation</t>
  </si>
  <si>
    <t>mean_Confession</t>
  </si>
  <si>
    <t>mean_Confession (murder)</t>
  </si>
  <si>
    <t>mean_Confession/Request for Confinement</t>
  </si>
  <si>
    <t>mean_Conflict with Authority</t>
  </si>
  <si>
    <t>mean_Conspiracy</t>
  </si>
  <si>
    <t>mean_Conspiracy (Police/Military)</t>
  </si>
  <si>
    <t>mean_Conspiracy (Vatican)</t>
  </si>
  <si>
    <t>mean_Conspiracy (familial, political)</t>
  </si>
  <si>
    <t>mean_Conspiracy (government agents)</t>
  </si>
  <si>
    <t>mean_Conspiracy (murder)</t>
  </si>
  <si>
    <t>mean_Conspiracy (political)</t>
  </si>
  <si>
    <t>mean_Conspiracy (political, mystical)</t>
  </si>
  <si>
    <t>mean_Conspiracy (sexual)</t>
  </si>
  <si>
    <t>mean_Conspiracy (state, judiciary)</t>
  </si>
  <si>
    <t>mean_Conspiracy_political</t>
  </si>
  <si>
    <t>mean_Cosmological/Creation Myth</t>
  </si>
  <si>
    <t>mean_Creative Writing (drama)</t>
  </si>
  <si>
    <t>mean_Cryptic Message/SOS</t>
  </si>
  <si>
    <t>mean_Cryptic Statements</t>
  </si>
  <si>
    <t>mean_Cryptic/Symbolic Poetry</t>
  </si>
  <si>
    <t>mean_Death_Funerary_Themes</t>
  </si>
  <si>
    <t>mean_Delusional Autobiography</t>
  </si>
  <si>
    <t>mean_Delusional Memory</t>
  </si>
  <si>
    <t>mean_Delusional Planning</t>
  </si>
  <si>
    <t>mean_Derealization</t>
  </si>
  <si>
    <t>mean_Despair</t>
  </si>
  <si>
    <t>mean_Enigmatography</t>
  </si>
  <si>
    <t>mean_Erotomanic Delusion</t>
  </si>
  <si>
    <t>mean_Erotomanic/Romantic Ideation</t>
  </si>
  <si>
    <t>mean_Espionage</t>
  </si>
  <si>
    <t>mean_Fable/Storytelling</t>
  </si>
  <si>
    <t>mean_Family Appeal</t>
  </si>
  <si>
    <t>mean_Family Concerns</t>
  </si>
  <si>
    <t>mean_Family Conflict</t>
  </si>
  <si>
    <t>mean_Family Correspondence</t>
  </si>
  <si>
    <t>mean_Family Separation</t>
  </si>
  <si>
    <t>mean_Family Tragedy (murder)</t>
  </si>
  <si>
    <t>mean_Family Tragedy (rape)</t>
  </si>
  <si>
    <t>mean_Family_Appeal</t>
  </si>
  <si>
    <t>mean_Family_Conflict</t>
  </si>
  <si>
    <t>mean_Family_Separation</t>
  </si>
  <si>
    <t>mean_Family_Tragedy_murder</t>
  </si>
  <si>
    <t>mean_Fantastical/Mythological Journey</t>
  </si>
  <si>
    <t>mean_Fear for Family</t>
  </si>
  <si>
    <t>mean_Fear/Anxiety</t>
  </si>
  <si>
    <t>mean_Financial Concerns</t>
  </si>
  <si>
    <t>mean_Financial Demands</t>
  </si>
  <si>
    <t>mean_Financial Dispute</t>
  </si>
  <si>
    <t>mean_Financial Request</t>
  </si>
  <si>
    <t>mean_Financial/Bureaucratic Request</t>
  </si>
  <si>
    <t>mean_Financial/Legal Demand</t>
  </si>
  <si>
    <t>mean_Financial_Concerns</t>
  </si>
  <si>
    <t>mean_Fixation on a Person</t>
  </si>
  <si>
    <t>mean_Framing</t>
  </si>
  <si>
    <t>mean_Grandiose Delusion (Apostle)</t>
  </si>
  <si>
    <t>mean_Grandiose Delusions</t>
  </si>
  <si>
    <t>mean_Grandiose Delusions (Omnipotence)</t>
  </si>
  <si>
    <t>mean_Grandiose Delusions (Omniscience)</t>
  </si>
  <si>
    <t>mean_Grandiose Delusions (Professor of Occult Sciences)</t>
  </si>
  <si>
    <t>mean_Grandiose Delusions (Royalty)</t>
  </si>
  <si>
    <t>mean_Grandiose Delusions (Royalty, inheritance)</t>
  </si>
  <si>
    <t>mean_Grandiose Delusions (Social Commentary)</t>
  </si>
  <si>
    <t>mean_Grandiose Delusions (artistic success)</t>
  </si>
  <si>
    <t>mean_Grandiose Delusions (diabolical)</t>
  </si>
  <si>
    <t>mean_Grandiose Delusions (discovery, invention)</t>
  </si>
  <si>
    <t>mean_Grandiose Delusions (divine inspiration)</t>
  </si>
  <si>
    <t>mean_Grandiose Delusions (erotomanic)</t>
  </si>
  <si>
    <t>mean_Grandiose Delusions (filmmaker)</t>
  </si>
  <si>
    <t>mean_Grandiose Delusions (financial, political)</t>
  </si>
  <si>
    <t>mean_Grandiose Delusions (military)</t>
  </si>
  <si>
    <t>mean_Grandiose Delusions (military, royal)</t>
  </si>
  <si>
    <t>mean_Grandiose Delusions (military, royal, erotomanic)</t>
  </si>
  <si>
    <t>mean_Grandiose Delusions (miraculous powers)</t>
  </si>
  <si>
    <t>mean_Grandiose Delusions (philanthropic)</t>
  </si>
  <si>
    <t>mean_Grandiose Delusions (physical appearance)</t>
  </si>
  <si>
    <t>mean_Grandiose Delusions (reincarnation, historical)</t>
  </si>
  <si>
    <t>mean_Grandiose Delusions (royal, financial)</t>
  </si>
  <si>
    <t>mean_Grandiose Delusions (secret agent)</t>
  </si>
  <si>
    <t>mean_Grandiose Delusions (space travel/astronauts)</t>
  </si>
  <si>
    <t>mean_Grandiose/Confused Identity</t>
  </si>
  <si>
    <t>mean_Grandiose/Religious Delusion (condemnation)</t>
  </si>
  <si>
    <t>mean_Grandiose/Religious Delusion (royal condemnation)</t>
  </si>
  <si>
    <t>mean_Grandiose_Delusions</t>
  </si>
  <si>
    <t>mean_Grandiose_Delusions_Royalty</t>
  </si>
  <si>
    <t>mean_Grandiose_Delusions_Royalty_Wealth</t>
  </si>
  <si>
    <t>mean_Gratitude</t>
  </si>
  <si>
    <t>mean_Hallucination (violent vision)</t>
  </si>
  <si>
    <t>mean_Hallucinations (auditory)</t>
  </si>
  <si>
    <t>mean_Hallucinations (visual)</t>
  </si>
  <si>
    <t>mean_Hallucinations (visual, auditory)</t>
  </si>
  <si>
    <t>mean_Hallucinations/Delusional Memories</t>
  </si>
  <si>
    <t>mean_Hallucinations_auditory</t>
  </si>
  <si>
    <t>mean_Hierarchy/Order</t>
  </si>
  <si>
    <t>mean_Hierarchy_Order</t>
  </si>
  <si>
    <t>mean_Historical Setting</t>
  </si>
  <si>
    <t>mean_Hope for Recovery</t>
  </si>
  <si>
    <t>mean_Hope for Release</t>
  </si>
  <si>
    <t>mean_Hospital Setting</t>
  </si>
  <si>
    <t>mean_Hospital_Setting</t>
  </si>
  <si>
    <t>mean_Impending Death</t>
  </si>
  <si>
    <t>mean_Imprisonment/Confinement</t>
  </si>
  <si>
    <t>mean_Imprisonment/Confinement (torture)</t>
  </si>
  <si>
    <t>mean_Imprisonment_Confinement</t>
  </si>
  <si>
    <t>mean_Incoherent Statement</t>
  </si>
  <si>
    <t>mean_Incoherent/Numerical</t>
  </si>
  <si>
    <t>mean_Incoherent/Word Salad</t>
  </si>
  <si>
    <t>mean_Incoherent_Glossolalia</t>
  </si>
  <si>
    <t>mean_Incoherent_Repetitive_Language</t>
  </si>
  <si>
    <t>mean_Insult/Aggression</t>
  </si>
  <si>
    <t>mean_Insults</t>
  </si>
  <si>
    <t>mean_Inter_patient_Conflict</t>
  </si>
  <si>
    <t>mean_Invention</t>
  </si>
  <si>
    <t>mean_Kidnapping</t>
  </si>
  <si>
    <t>mean_Legal/Bureaucratic Document</t>
  </si>
  <si>
    <t>mean_Legal/Punitive Fantasy</t>
  </si>
  <si>
    <t>mean_Legal/Testamentary</t>
  </si>
  <si>
    <t>mean_Letter to Wife</t>
  </si>
  <si>
    <t>mean_Logical/Philosophical Reasoning</t>
  </si>
  <si>
    <t>mean_Logical_Reasoning_from_Delusion</t>
  </si>
  <si>
    <t>mean_Longing for Normalcy</t>
  </si>
  <si>
    <t>mean_Longing_for_Normalcy</t>
  </si>
  <si>
    <t>mean_Love/Romance</t>
  </si>
  <si>
    <t>mean_Love_Betrayal</t>
  </si>
  <si>
    <t>mean_Love_Romance</t>
  </si>
  <si>
    <t>mean_Marital Conflict</t>
  </si>
  <si>
    <t>mean_Marital Conflict/Infidelity (incest)</t>
  </si>
  <si>
    <t>mean_Marital_Conflict_Jealousy</t>
  </si>
  <si>
    <t>mean_Medical Concerns</t>
  </si>
  <si>
    <t>mean_Medical Treatment</t>
  </si>
  <si>
    <t>mean_Medical Treatment (ECT)</t>
  </si>
  <si>
    <t>mean_Medical/Psychiatric History</t>
  </si>
  <si>
    <t>mean_Medical/Psychological History</t>
  </si>
  <si>
    <t>mean_Medical_Hospital_Setting</t>
  </si>
  <si>
    <t>mean_Mild Incoherence</t>
  </si>
  <si>
    <t>mean_Military/Patriotism</t>
  </si>
  <si>
    <t>mean_Mission</t>
  </si>
  <si>
    <t>mean_Mistreatment</t>
  </si>
  <si>
    <t>mean_Mistrust of Doctors</t>
  </si>
  <si>
    <t>mean_Mystical/Astrological Prediction</t>
  </si>
  <si>
    <t>mean_Mystical/Cosmological Themes</t>
  </si>
  <si>
    <t>mean_Mystical/Occult Beliefs</t>
  </si>
  <si>
    <t>mean_Mystical/Religious Delusions</t>
  </si>
  <si>
    <t>mean_Mystical_Religious_Delusions</t>
  </si>
  <si>
    <t>mean_Mystical_Visionary_Experience</t>
  </si>
  <si>
    <t>mean_Narrative/Storytelling</t>
  </si>
  <si>
    <t>mean_Neglect_Abandonment</t>
  </si>
  <si>
    <t>mean_Neologisms</t>
  </si>
  <si>
    <t>mean_Numerology</t>
  </si>
  <si>
    <t>mean_Official Report</t>
  </si>
  <si>
    <t>mean_Patriotism</t>
  </si>
  <si>
    <t>mean_Persecution</t>
  </si>
  <si>
    <t>mean_Persecution (by doctors)</t>
  </si>
  <si>
    <t>mean_Persecution (minor)</t>
  </si>
  <si>
    <t>mean_Persecution (political)</t>
  </si>
  <si>
    <t>mean_Persecution (social)</t>
  </si>
  <si>
    <t>mean_Persecution/Torture</t>
  </si>
  <si>
    <t>mean_Persecution_bizarre</t>
  </si>
  <si>
    <t>mean_Persecutory Ideation</t>
  </si>
  <si>
    <t>mean_Personal_Honor</t>
  </si>
  <si>
    <t>mean_Philosophical Influence</t>
  </si>
  <si>
    <t>mean_Philosophical Reflection</t>
  </si>
  <si>
    <t>mean_Philosophical_Reflection</t>
  </si>
  <si>
    <t>mean_Plea for Release</t>
  </si>
  <si>
    <t>mean_Plea for Release/Employment</t>
  </si>
  <si>
    <t>mean_Poetic Expression</t>
  </si>
  <si>
    <t>mean_Poetic Expression (Acrostic)</t>
  </si>
  <si>
    <t>mean_Poetic Expression/Songwriting</t>
  </si>
  <si>
    <t>mean_Poetic_Reflection</t>
  </si>
  <si>
    <t>mean_Poisoning</t>
  </si>
  <si>
    <t>mean_Poisoning_Contamination</t>
  </si>
  <si>
    <t>mean_Political Identity</t>
  </si>
  <si>
    <t>mean_Political Praise (Fascism)</t>
  </si>
  <si>
    <t>mean_Political Praise (Monarchy)</t>
  </si>
  <si>
    <t>mean_Political Rebellion/Threat</t>
  </si>
  <si>
    <t>mean_Political Satire</t>
  </si>
  <si>
    <t>mean_Political Statement</t>
  </si>
  <si>
    <t>mean_Political Statement (anti-fascist)</t>
  </si>
  <si>
    <t>mean_Political Themes</t>
  </si>
  <si>
    <t>mean_Political/Military Themes</t>
  </si>
  <si>
    <t>mean_Political_Commentary</t>
  </si>
  <si>
    <t>mean_Political_Praise_Fascism</t>
  </si>
  <si>
    <t>mean_Political_Praise_Monarchy</t>
  </si>
  <si>
    <t>mean_Prayer/Religious Expression</t>
  </si>
  <si>
    <t>mean_Prophecy_Revelation</t>
  </si>
  <si>
    <t>mean_Protest</t>
  </si>
  <si>
    <t>mean_Protest (hunger strike)</t>
  </si>
  <si>
    <t>mean_Proverbial Wisdom</t>
  </si>
  <si>
    <t>mean_Religious Mania</t>
  </si>
  <si>
    <t>mean_Religious Themes</t>
  </si>
  <si>
    <t>mean_Religious/Mystical Delusion</t>
  </si>
  <si>
    <t>mean_Religious/Philosophical Reflection</t>
  </si>
  <si>
    <t>mean_Religious_Blasphemy</t>
  </si>
  <si>
    <t>mean_Religious_Crisis</t>
  </si>
  <si>
    <t>mean_Religious_Delusions</t>
  </si>
  <si>
    <t>mean_Religious_Delusions_Erotomanic</t>
  </si>
  <si>
    <t>mean_Religious_Mystical_Delusions</t>
  </si>
  <si>
    <t>mean_Religious_Themes</t>
  </si>
  <si>
    <t>mean_Report/Complaint</t>
  </si>
  <si>
    <t>mean_Revenge</t>
  </si>
  <si>
    <t>mean_Revenge_Vindication</t>
  </si>
  <si>
    <t>mean_Romance/Nostalgia</t>
  </si>
  <si>
    <t>mean_Self-awareness/Insight</t>
  </si>
  <si>
    <t>mean_Self-awareness/Justification</t>
  </si>
  <si>
    <t>mean_Self-defense (legalistic)</t>
  </si>
  <si>
    <t>mean_Self-defense/Justification</t>
  </si>
  <si>
    <t>mean_Self-justification</t>
  </si>
  <si>
    <t>mean_Self-justification/Explanation</t>
  </si>
  <si>
    <t>mean_Sexual Assault/Rape</t>
  </si>
  <si>
    <t>mean_Sexual Delusions/Assault</t>
  </si>
  <si>
    <t>mean_Sexual Identity Concerns</t>
  </si>
  <si>
    <t>mean_Sexual/Gender Identity Delusions</t>
  </si>
  <si>
    <t>mean_Sexual/Genital Delusions</t>
  </si>
  <si>
    <t>mean_Sexual_Delusions</t>
  </si>
  <si>
    <t>mean_Simple Correspondence</t>
  </si>
  <si>
    <t>mean_Simple Request</t>
  </si>
  <si>
    <t>mean_Simple_Request</t>
  </si>
  <si>
    <t>mean_Social Commentary</t>
  </si>
  <si>
    <t>mean_Social Conflict</t>
  </si>
  <si>
    <t>mean_Social Critique</t>
  </si>
  <si>
    <t>mean_Social Critique (of the asylum system)</t>
  </si>
  <si>
    <t>mean_Social Disgrace</t>
  </si>
  <si>
    <t>mean_Social Injustice</t>
  </si>
  <si>
    <t>mean_Social_Commentary</t>
  </si>
  <si>
    <t>mean_Social_Correspondence</t>
  </si>
  <si>
    <t>mean_Social_Disgrace</t>
  </si>
  <si>
    <t>mean_Somatic Complaint</t>
  </si>
  <si>
    <t>mean_Somatic Complaints</t>
  </si>
  <si>
    <t>mean_Somatic Delusions</t>
  </si>
  <si>
    <t>mean_Somatic_Complaints</t>
  </si>
  <si>
    <t>mean_Somatic_Delusions</t>
  </si>
  <si>
    <t>mean_Suffering</t>
  </si>
  <si>
    <t>mean_Suicide Attempt</t>
  </si>
  <si>
    <t>mean_Surveillance (microphones)</t>
  </si>
  <si>
    <t>mean_Symbolic Action</t>
  </si>
  <si>
    <t>mean_Technical_Jargon_Neologisms</t>
  </si>
  <si>
    <t>mean_Technology as Explanation for Delusions</t>
  </si>
  <si>
    <t>mean_Technology as Persecution</t>
  </si>
  <si>
    <t>mean_Technology as Persecution (Television)</t>
  </si>
  <si>
    <t>mean_Theft</t>
  </si>
  <si>
    <t>mean_Thought Influence</t>
  </si>
  <si>
    <t>mean_Thought Influence/Control (technology)</t>
  </si>
  <si>
    <t>mean_Thought Influence/Interception</t>
  </si>
  <si>
    <t>mean_Thought Influence/Transmission</t>
  </si>
  <si>
    <t>mean_Thought_Energy_Influence</t>
  </si>
  <si>
    <t>mean_Thought_Influence_Transmission</t>
  </si>
  <si>
    <t>mean_Threatening Language</t>
  </si>
  <si>
    <t>mean_Threats</t>
  </si>
  <si>
    <t>mean_Torture</t>
  </si>
  <si>
    <t>mean_Torture (X-rays)</t>
  </si>
  <si>
    <t>mean_Torture (rays)</t>
  </si>
  <si>
    <t>mean_Vindication/Justice</t>
  </si>
  <si>
    <t>mean_Vindication/Justice (self-incriminating)</t>
  </si>
  <si>
    <t>mean_Vindication_Justice</t>
  </si>
  <si>
    <t>mean_Violence (victim)</t>
  </si>
  <si>
    <t>mean_War</t>
  </si>
  <si>
    <t>mean_War Experience</t>
  </si>
  <si>
    <t>mean_War Experience (WWI)</t>
  </si>
  <si>
    <t>mean_War_Experience_WWI</t>
  </si>
  <si>
    <t>mean_War_Themes_WWII</t>
  </si>
  <si>
    <t>mean_Wordplay/Linguistic Curiosity</t>
  </si>
  <si>
    <t>Pappalardo Michele</t>
  </si>
  <si>
    <t xml:space="preserve"> Army Officer</t>
  </si>
  <si>
    <t>Military&amp;Police</t>
  </si>
  <si>
    <t>Paranoid Syndrome</t>
  </si>
  <si>
    <t>Schizophrenia Spectrum and Other Psychotic Disorders</t>
  </si>
  <si>
    <t>Pant√® Antonino</t>
  </si>
  <si>
    <t>Lanza Giuseppe</t>
  </si>
  <si>
    <t>Marletta Antonio</t>
  </si>
  <si>
    <t>Schizophrenia</t>
  </si>
  <si>
    <t>Sanfilippo Orazio</t>
  </si>
  <si>
    <t>Sulfur miner</t>
  </si>
  <si>
    <t>Manual_Labor&amp;Crafts</t>
  </si>
  <si>
    <t>Paranoid Schizophrenia</t>
  </si>
  <si>
    <t>Ruggeri Sebastiano</t>
  </si>
  <si>
    <t>Marine engineer</t>
  </si>
  <si>
    <t>Engineers&amp;Technical</t>
  </si>
  <si>
    <t>Gambino Domenico</t>
  </si>
  <si>
    <t>Postal-telegraph worker</t>
  </si>
  <si>
    <t>Paranoid Psychosis</t>
  </si>
  <si>
    <t>Strati Filippo</t>
  </si>
  <si>
    <t>Bellabarba Giovan Battista</t>
  </si>
  <si>
    <t xml:space="preserve"> Court Clerk</t>
  </si>
  <si>
    <t>Clerical&amp;Administrative</t>
  </si>
  <si>
    <t>Trovato Antonino</t>
  </si>
  <si>
    <t>Farm laborer</t>
  </si>
  <si>
    <t>Raynieri Giacomo</t>
  </si>
  <si>
    <t>Priest, teacher</t>
  </si>
  <si>
    <t>Clergy&amp;Religious</t>
  </si>
  <si>
    <t>Fixed-Idea Psychosis</t>
  </si>
  <si>
    <t>Di Mauro Giuseppe</t>
  </si>
  <si>
    <t>Iozzia Giuseppe</t>
  </si>
  <si>
    <t>Magazzu Antonia</t>
  </si>
  <si>
    <t>Baiardo Luigi</t>
  </si>
  <si>
    <t>Accountant</t>
  </si>
  <si>
    <t>D'Amico Onofrio</t>
  </si>
  <si>
    <t>Regimental Sergeant Major</t>
  </si>
  <si>
    <t>Depressive Syndrome</t>
  </si>
  <si>
    <t>Depressive Disorders</t>
  </si>
  <si>
    <t>Trifiletti Salvatore</t>
  </si>
  <si>
    <t>Shoemaker</t>
  </si>
  <si>
    <t>Di Blasi Antonino</t>
  </si>
  <si>
    <t xml:space="preserve"> Carabinieri Brigadier</t>
  </si>
  <si>
    <t>Paranoid Delusion</t>
  </si>
  <si>
    <t>Panato Antonio</t>
  </si>
  <si>
    <t>Astri Norina</t>
  </si>
  <si>
    <t>De Francesco Francesco</t>
  </si>
  <si>
    <t>Paranoia</t>
  </si>
  <si>
    <t>Sgariglia Bonaventura</t>
  </si>
  <si>
    <t>Prison Guard</t>
  </si>
  <si>
    <t>Nioi Antonio</t>
  </si>
  <si>
    <t>Consolo Luigi</t>
  </si>
  <si>
    <t>Teacher</t>
  </si>
  <si>
    <t>Schizophrenic Syndrome</t>
  </si>
  <si>
    <t>Orso Carmine Giuseppe</t>
  </si>
  <si>
    <t>Graziano Leonardo</t>
  </si>
  <si>
    <t>Music Teacher</t>
  </si>
  <si>
    <t>Mattioli Giovanni</t>
  </si>
  <si>
    <t>Mechanic</t>
  </si>
  <si>
    <t>Paranoia and Persecutory Delusion</t>
  </si>
  <si>
    <t>Marziano Vincenzo</t>
  </si>
  <si>
    <t>Tricarichi Vito Antonino</t>
  </si>
  <si>
    <t>Proprietor, mason, laborer, merchant</t>
  </si>
  <si>
    <t>Di Natale Tito Aurelio</t>
  </si>
  <si>
    <t>Employee</t>
  </si>
  <si>
    <t>Trovato Gaetano</t>
  </si>
  <si>
    <t>Sacca Antonino</t>
  </si>
  <si>
    <t>Postal Telegraph Worker</t>
  </si>
  <si>
    <t>Gulli Antonino</t>
  </si>
  <si>
    <t>Merchant</t>
  </si>
  <si>
    <t>Merchants&amp;Service</t>
  </si>
  <si>
    <t>Cavoli Antonino</t>
  </si>
  <si>
    <t>Scuderi Rosario</t>
  </si>
  <si>
    <t>La Ganga Vincenzo</t>
  </si>
  <si>
    <t>Veca Orazio</t>
  </si>
  <si>
    <t>Shopkeeper</t>
  </si>
  <si>
    <t>Randazzo Vito</t>
  </si>
  <si>
    <t>Hypomania</t>
  </si>
  <si>
    <t>Bipolar and Related Disorders</t>
  </si>
  <si>
    <t>Gulli Giovan Battista</t>
  </si>
  <si>
    <t>Galuppi Giovanni</t>
  </si>
  <si>
    <t>Periodic Madness</t>
  </si>
  <si>
    <t>Imbert Francesco</t>
  </si>
  <si>
    <t>Law graduate</t>
  </si>
  <si>
    <t>Romeo Paolo</t>
  </si>
  <si>
    <t>Engineer</t>
  </si>
  <si>
    <t>Sensory Phrenosis</t>
  </si>
  <si>
    <t>CAVARRA M. ANGELA CONSOLAZIONE</t>
  </si>
  <si>
    <t>Cacciola Egidio</t>
  </si>
  <si>
    <t>Factory worker (-monopoly worker)</t>
  </si>
  <si>
    <t>Amendolia Maria</t>
  </si>
  <si>
    <t>Dissociative Syndrome</t>
  </si>
  <si>
    <t>Dissociative Disorders</t>
  </si>
  <si>
    <t>Borruto Maria Nicola</t>
  </si>
  <si>
    <t>Nun (Franciscan Sisters)</t>
  </si>
  <si>
    <t>Ioppolo Giovanni</t>
  </si>
  <si>
    <t>Teacher (taught at Royal gymnasium)</t>
  </si>
  <si>
    <t>Celona Calogero</t>
  </si>
  <si>
    <t>Student</t>
  </si>
  <si>
    <t>Teaching&amp;Education</t>
  </si>
  <si>
    <t>Sensory phrenosis</t>
  </si>
  <si>
    <t>Gabriele Alfredo</t>
  </si>
  <si>
    <t>Head Teacher</t>
  </si>
  <si>
    <t>B. Alberto</t>
  </si>
  <si>
    <t>Neurasthenia</t>
  </si>
  <si>
    <t>Anxiety Disorders</t>
  </si>
  <si>
    <t>B. Giuseppe</t>
  </si>
  <si>
    <t>Civil employee</t>
  </si>
  <si>
    <t>Manic State</t>
  </si>
  <si>
    <t>Barbera Francesco</t>
  </si>
  <si>
    <t>Marito di C. Filomena</t>
  </si>
  <si>
    <t>Not stated</t>
  </si>
  <si>
    <t>Missing Data</t>
  </si>
  <si>
    <t>C. Filomena</t>
  </si>
  <si>
    <t>Personality Disorders</t>
  </si>
  <si>
    <t>C. Francesco 1</t>
  </si>
  <si>
    <t>C. Leonardo</t>
  </si>
  <si>
    <t>Military</t>
  </si>
  <si>
    <t>Schizophrenia with psychomotor excitation</t>
  </si>
  <si>
    <t>C. Francesco 2</t>
  </si>
  <si>
    <t>Confusional Excitement Syndrome</t>
  </si>
  <si>
    <t>D'ARRIGO ALESSANDRO</t>
  </si>
  <si>
    <t>SINOPOLI LETTERIO</t>
  </si>
  <si>
    <t>La Pusata Alessandra</t>
  </si>
  <si>
    <t>Politi Giovanni</t>
  </si>
  <si>
    <t>Incarn√≤ Tindaro</t>
  </si>
  <si>
    <t>Carter</t>
  </si>
  <si>
    <t>Catatonia</t>
  </si>
  <si>
    <t>Catania Giuseppe</t>
  </si>
  <si>
    <t>Pappalardo Giuseppe</t>
  </si>
  <si>
    <t>Artisan</t>
  </si>
  <si>
    <t>Persecutory Delusion</t>
  </si>
  <si>
    <t>Librizzi Antonino</t>
  </si>
  <si>
    <t>Bella Domenico Maria</t>
  </si>
  <si>
    <t>Pensioner</t>
  </si>
  <si>
    <t>Crin√≤ Giuseppe</t>
  </si>
  <si>
    <t>Pensioner (State Railways)</t>
  </si>
  <si>
    <t>Dementia Praecox with Paranoid variety</t>
  </si>
  <si>
    <t>Imprescia Mario</t>
  </si>
  <si>
    <t>Carabiniere</t>
  </si>
  <si>
    <t>Melancholic Frenzy</t>
  </si>
  <si>
    <t>Nanni Teresa</t>
  </si>
  <si>
    <t>Involutive Depressive Syndrome</t>
  </si>
  <si>
    <t>Ruggeri Giuseppe</t>
  </si>
  <si>
    <t>Priest, Middle School Teacher</t>
  </si>
  <si>
    <t>Mastroeni Nicola</t>
  </si>
  <si>
    <t xml:space="preserve"> Carabiniere</t>
  </si>
  <si>
    <t>Cannav√≤ Giovanni</t>
  </si>
  <si>
    <t>Balsam√† Antonio</t>
  </si>
  <si>
    <t>Bazza Vincenzo</t>
  </si>
  <si>
    <t>Benedetti Antonino</t>
  </si>
  <si>
    <t>Student, missionary to Congo and America</t>
  </si>
  <si>
    <t>Cerebral Syphilis</t>
  </si>
  <si>
    <t>Neurocognitive Disorders</t>
  </si>
  <si>
    <t>Santo P.</t>
  </si>
  <si>
    <t>G. Antonino</t>
  </si>
  <si>
    <t>Senile Dementia</t>
  </si>
  <si>
    <t>V. Ivo</t>
  </si>
  <si>
    <t>Erethistic syndrome</t>
  </si>
  <si>
    <t>O. Angelo</t>
  </si>
  <si>
    <t>Farmer</t>
  </si>
  <si>
    <t>P. Francesco</t>
  </si>
  <si>
    <t>Cabinetmaker</t>
  </si>
  <si>
    <t>State of Excitement</t>
  </si>
  <si>
    <t>S. FRANZ</t>
  </si>
  <si>
    <t>P. Domenico</t>
  </si>
  <si>
    <t>L. Felice</t>
  </si>
  <si>
    <t>Hotelier</t>
  </si>
  <si>
    <t>N. Ettore</t>
  </si>
  <si>
    <t>Progressive Paralysis</t>
  </si>
  <si>
    <t>S. Francesco</t>
  </si>
  <si>
    <t>V. Maria Rosa</t>
  </si>
  <si>
    <t>Vadal√† Adriana</t>
  </si>
  <si>
    <t>Fanara Luigi</t>
  </si>
  <si>
    <t>La Torre Rocco</t>
  </si>
  <si>
    <t>Lo Castro Giuseppe</t>
  </si>
  <si>
    <t>Lo Giudice Antonio Giovanni</t>
  </si>
  <si>
    <t>Maccarrone Angelo Sanglair</t>
  </si>
  <si>
    <t>Pompignano Giuseppe</t>
  </si>
  <si>
    <t>Early dementia</t>
  </si>
  <si>
    <t>Satariano Giovanni</t>
  </si>
  <si>
    <t>Portale Salvatore</t>
  </si>
  <si>
    <t>Di Giovanni Ottavio</t>
  </si>
  <si>
    <t>Elementary school teacher</t>
  </si>
  <si>
    <t>Paranoid</t>
  </si>
  <si>
    <t>Rando Lorenzo</t>
  </si>
  <si>
    <t>Fisherman</t>
  </si>
  <si>
    <t>Rizzo Leo</t>
  </si>
  <si>
    <t>Tinuzzo Placido</t>
  </si>
  <si>
    <t>Furniture polisher</t>
  </si>
  <si>
    <t>D. GUGLIELMO</t>
  </si>
  <si>
    <t>Paranoid constitution with epilepsy</t>
  </si>
  <si>
    <t>D. Leonardo</t>
  </si>
  <si>
    <t>Military personnel, University student</t>
  </si>
  <si>
    <t>C. Francesco 3</t>
  </si>
  <si>
    <t>n_clusters</t>
  </si>
  <si>
    <t>primary_cluster</t>
  </si>
  <si>
    <t>primary_cluster_pct</t>
  </si>
  <si>
    <t>all_clusters</t>
  </si>
  <si>
    <t>cluster_distribution</t>
  </si>
  <si>
    <t>mean_creativity</t>
  </si>
  <si>
    <t>std_creativity</t>
  </si>
  <si>
    <t>mean_authoriality</t>
  </si>
  <si>
    <t>std_authoriality</t>
  </si>
  <si>
    <t>{3: np.int64(11)}</t>
  </si>
  <si>
    <t>{3: np.int64(17)}</t>
  </si>
  <si>
    <t>{3: np.int64(5)}</t>
  </si>
  <si>
    <t>{4: np.int64(1)}</t>
  </si>
  <si>
    <t>{4: np.int64(4)}</t>
  </si>
  <si>
    <t>{3: np.int64(3)}</t>
  </si>
  <si>
    <t>3,5</t>
  </si>
  <si>
    <t>{3: np.int64(3), 5: np.int64(1)}</t>
  </si>
  <si>
    <t>{3: np.int64(1)}</t>
  </si>
  <si>
    <t>{3: np.int64(2)}</t>
  </si>
  <si>
    <t>3,4</t>
  </si>
  <si>
    <t>{3: np.int64(1), 4: np.int64(1)}</t>
  </si>
  <si>
    <t>{3: np.int64(9)}</t>
  </si>
  <si>
    <t>{8: np.int64(40)}</t>
  </si>
  <si>
    <t>{3: np.int64(8), 4: np.int64(1)}</t>
  </si>
  <si>
    <t>{9: np.int64(8)}</t>
  </si>
  <si>
    <t>{9: np.int64(2)}</t>
  </si>
  <si>
    <t>{4: np.int64(1), 3: np.int64(1)}</t>
  </si>
  <si>
    <t>{4: np.int64(3), 3: np.int64(2)}</t>
  </si>
  <si>
    <t>{6: np.int64(1)}</t>
  </si>
  <si>
    <t>{3: np.int64(13), 4: np.int64(1)}</t>
  </si>
  <si>
    <t>{1: np.int64(1)}</t>
  </si>
  <si>
    <t>{3: np.int64(4)}</t>
  </si>
  <si>
    <t>{8: np.int64(1)}</t>
  </si>
  <si>
    <t>{6: np.int64(3)}</t>
  </si>
  <si>
    <t>Balsam√†¬† Antonio</t>
  </si>
  <si>
    <t>{3: np.int64(6)}</t>
  </si>
  <si>
    <t>{2: np.int64(3)}</t>
  </si>
  <si>
    <t>2,7</t>
  </si>
  <si>
    <t>{2: np.int64(3), 7: np.int64(1)}</t>
  </si>
  <si>
    <t>{1: np.int64(2)}</t>
  </si>
  <si>
    <t>0,1</t>
  </si>
  <si>
    <t>{0: np.int64(2), 1: np.int64(2)}</t>
  </si>
  <si>
    <t>{3: np.int64(7)}</t>
  </si>
  <si>
    <t>{2: np.int64(2)}</t>
  </si>
  <si>
    <t>Vadal√†¬†Adriana</t>
  </si>
  <si>
    <t>1,2,3,4,8</t>
  </si>
  <si>
    <t>{2: np.int64(2), 1: np.int64(1), 3: np.int64(1), 4: np.int64(1), 8: np.int64(1)}</t>
  </si>
  <si>
    <t>{3: np.int64(2), 4: np.int64(1)}</t>
  </si>
  <si>
    <t>{9: np.int64(3)}</t>
  </si>
  <si>
    <t>{4: np.int64(2)}</t>
  </si>
  <si>
    <t>{2: np.int64(5)}</t>
  </si>
  <si>
    <t>{6: np.int64(5)}</t>
  </si>
  <si>
    <t>{0: np.int64(3), 1: np.int64(1)}</t>
  </si>
  <si>
    <t>{2: np.int64(4)}</t>
  </si>
  <si>
    <t>0ranking</t>
  </si>
  <si>
    <t>1ranking</t>
  </si>
  <si>
    <t>2ranking</t>
  </si>
  <si>
    <t>3ranking</t>
  </si>
  <si>
    <t>4ranking</t>
  </si>
  <si>
    <t>5ranking</t>
  </si>
  <si>
    <t>6ranking</t>
  </si>
  <si>
    <t>7ranking</t>
  </si>
  <si>
    <t>8ranking</t>
  </si>
  <si>
    <t>9ranking</t>
  </si>
  <si>
    <t>average</t>
  </si>
  <si>
    <t>std</t>
  </si>
  <si>
    <t>zeta score</t>
  </si>
  <si>
    <t>Anti-religious_Sentiment</t>
  </si>
  <si>
    <t>Accusation_(sexual_assault)</t>
  </si>
  <si>
    <t>Accusation_(sexual_misconduct)</t>
  </si>
  <si>
    <t>Appeal_to_Authority_(legal)</t>
  </si>
  <si>
    <t>Appeal_to_Authority_(royal)</t>
  </si>
  <si>
    <t>Autobiographical_Account</t>
  </si>
  <si>
    <t>Autobiographical_Account_(disjointed)</t>
  </si>
  <si>
    <t>Bizarre_Delusions</t>
  </si>
  <si>
    <t>Bizarre_Scientific_Theories</t>
  </si>
  <si>
    <t>Brain-centered_Delusion</t>
  </si>
  <si>
    <t>Bureaucratic_Concerns</t>
  </si>
  <si>
    <t>Calculated_Aggression</t>
  </si>
  <si>
    <t>Civic_Address</t>
  </si>
  <si>
    <t>Coded_Language</t>
  </si>
  <si>
    <t>Confession_(murder)</t>
  </si>
  <si>
    <t>Conflict_with_Authority</t>
  </si>
  <si>
    <t>Conspiracy_(Vatican)</t>
  </si>
  <si>
    <t>Conspiracy_(familial,_political)</t>
  </si>
  <si>
    <t>Conspiracy_(government_agents)</t>
  </si>
  <si>
    <t>Conspiracy_(murder)</t>
  </si>
  <si>
    <t>Conspiracy_(political,_mystical)</t>
  </si>
  <si>
    <t>Conspiracy_(sexual)</t>
  </si>
  <si>
    <t>Conspiracy_(state,_judiciary)</t>
  </si>
  <si>
    <t>Creative_Writing_(drama)</t>
  </si>
  <si>
    <t>Cryptic_Statements</t>
  </si>
  <si>
    <t>Delusional_Autobiography</t>
  </si>
  <si>
    <t>Delusional_Memory</t>
  </si>
  <si>
    <t>Delusional_Planning</t>
  </si>
  <si>
    <t>Erotomanic_Delusion</t>
  </si>
  <si>
    <t>Family_Concerns</t>
  </si>
  <si>
    <t>Family_Correspondence</t>
  </si>
  <si>
    <t>Family_Tragedy_(rape)</t>
  </si>
  <si>
    <t>Fear_for_Family</t>
  </si>
  <si>
    <t>Financial_Demands</t>
  </si>
  <si>
    <t>Financial_Dispute</t>
  </si>
  <si>
    <t>Financial_Request</t>
  </si>
  <si>
    <t>Fixation_on_a_Person</t>
  </si>
  <si>
    <t>Grandiose_Delusion_(Apostle)</t>
  </si>
  <si>
    <t>Grandiose_Delusions_(Omnipotence)</t>
  </si>
  <si>
    <t>Grandiose_Delusions_(Omniscience)</t>
  </si>
  <si>
    <t>Grandiose_Delusions_(Professor_of_Occult_Sciences)</t>
  </si>
  <si>
    <t>Grandiose_Delusions_(Royalty,_inheritance)</t>
  </si>
  <si>
    <t>Grandiose_Delusions_(Social_Commentary)</t>
  </si>
  <si>
    <t>Grandiose_Delusions_(artistic_success)</t>
  </si>
  <si>
    <t>Grandiose_Delusions_(diabolical)</t>
  </si>
  <si>
    <t>Grandiose_Delusions_(discovery,_invention)</t>
  </si>
  <si>
    <t>Grandiose_Delusions_(divine_inspiration)</t>
  </si>
  <si>
    <t>Grandiose_Delusions_(erotomanic)</t>
  </si>
  <si>
    <t>Grandiose_Delusions_(filmmaker)</t>
  </si>
  <si>
    <t>Grandiose_Delusions_(financial,_political)</t>
  </si>
  <si>
    <t>Grandiose_Delusions_(military)</t>
  </si>
  <si>
    <t>Grandiose_Delusions_(military,_royal)</t>
  </si>
  <si>
    <t>Grandiose_Delusions_(military,_royal,_erotomanic)</t>
  </si>
  <si>
    <t>Grandiose_Delusions_(miraculous_powers)</t>
  </si>
  <si>
    <t>Grandiose_Delusions_(philanthropic)</t>
  </si>
  <si>
    <t>Grandiose_Delusions_(physical_appearance)</t>
  </si>
  <si>
    <t>Grandiose_Delusions_(reincarnation,_historical)</t>
  </si>
  <si>
    <t>Grandiose_Delusions_(royal,_financial)</t>
  </si>
  <si>
    <t>Grandiose_Delusions_(secret_agent)</t>
  </si>
  <si>
    <t>Hallucination_(violent_vision)</t>
  </si>
  <si>
    <t>Hallucinations_(visual)</t>
  </si>
  <si>
    <t>Hallucinations_(visual,_auditory)</t>
  </si>
  <si>
    <t>Historical_Setting</t>
  </si>
  <si>
    <t>Hope_for_Recovery</t>
  </si>
  <si>
    <t>Hope_for_Release</t>
  </si>
  <si>
    <t>Impending_Death</t>
  </si>
  <si>
    <t>Incoherent_Statement</t>
  </si>
  <si>
    <t>Letter_to_Wife</t>
  </si>
  <si>
    <t>Marital_Conflict</t>
  </si>
  <si>
    <t>Medical_Concerns</t>
  </si>
  <si>
    <t>Medical_Treatment</t>
  </si>
  <si>
    <t>Medical_Treatment_(ECT)</t>
  </si>
  <si>
    <t>Mild_Incoherence</t>
  </si>
  <si>
    <t>Mistrust_of_Doctors</t>
  </si>
  <si>
    <t>Official_Report</t>
  </si>
  <si>
    <t>Persecution_(by_doctors)</t>
  </si>
  <si>
    <t>Persecution_(minor)</t>
  </si>
  <si>
    <t>Persecution_(political)</t>
  </si>
  <si>
    <t>Persecution_(social)</t>
  </si>
  <si>
    <t>Persecutory_Ideation</t>
  </si>
  <si>
    <t>Philosophical_Influence</t>
  </si>
  <si>
    <t>Plea_for_Release</t>
  </si>
  <si>
    <t>Poetic_Expression</t>
  </si>
  <si>
    <t>Poetic_Expression_(Acrostic)</t>
  </si>
  <si>
    <t>Political_Identity</t>
  </si>
  <si>
    <t>Political_Praise_(Fascism)</t>
  </si>
  <si>
    <t>Political_Praise_(Monarchy)</t>
  </si>
  <si>
    <t>Political_Satire</t>
  </si>
  <si>
    <t>Political_Statement</t>
  </si>
  <si>
    <t>Political_Statement_(anti-fascist)</t>
  </si>
  <si>
    <t>Political_Themes</t>
  </si>
  <si>
    <t>Protest_(hunger_strike)</t>
  </si>
  <si>
    <t>Proverbial_Wisdom</t>
  </si>
  <si>
    <t>Religious_Mania</t>
  </si>
  <si>
    <t>Self-defense_(legalistic)</t>
  </si>
  <si>
    <t>Sexual_Identity_Concerns</t>
  </si>
  <si>
    <t>Simple_Correspondence</t>
  </si>
  <si>
    <t>Social_Conflict</t>
  </si>
  <si>
    <t>Social_Critique</t>
  </si>
  <si>
    <t>Social_Critique_(of_the_asylum_system)</t>
  </si>
  <si>
    <t>Social_Injustice</t>
  </si>
  <si>
    <t>Suicide_Attempt</t>
  </si>
  <si>
    <t>Surveillance_(microphones)</t>
  </si>
  <si>
    <t>Symbolic_Action</t>
  </si>
  <si>
    <t>Technology_as_Explanation_for_Delusions</t>
  </si>
  <si>
    <t>Technology_as_Persecution</t>
  </si>
  <si>
    <t>Technology_as_Persecution_(Television)</t>
  </si>
  <si>
    <t>Thought_Influence</t>
  </si>
  <si>
    <t>Threatening_Language</t>
  </si>
  <si>
    <t>Torture_(X-rays)</t>
  </si>
  <si>
    <t>Torture_(rays)</t>
  </si>
  <si>
    <t>Violence_(victim)</t>
  </si>
  <si>
    <t>War_Experience</t>
  </si>
  <si>
    <t>zeta_score</t>
  </si>
  <si>
    <t>Ambition_Employment_Request</t>
  </si>
  <si>
    <t>Ambition_Planning</t>
  </si>
  <si>
    <t>Asceticism_Religious_Vow</t>
  </si>
  <si>
    <t>Bizarre_Obsessive_Instructions</t>
  </si>
  <si>
    <t>Bizarre_Scatological_Humor</t>
  </si>
  <si>
    <t>Complaint_Financial_Dispute</t>
  </si>
  <si>
    <t>Confession_Request_for_Confinement</t>
  </si>
  <si>
    <t>Conspiracy_(Police_Military)</t>
  </si>
  <si>
    <t>Cosmological_Creation_Myth</t>
  </si>
  <si>
    <t>Cryptic_Message_SOS</t>
  </si>
  <si>
    <t>Cryptic_Symbolic_Poetry</t>
  </si>
  <si>
    <t>Erotomanic_Romantic_Ideation</t>
  </si>
  <si>
    <t>Fable_Storytelling</t>
  </si>
  <si>
    <t>Fantastical_Mythological_Journey</t>
  </si>
  <si>
    <t>Fear_Anxiety</t>
  </si>
  <si>
    <t>Financial_Bureaucratic_Request</t>
  </si>
  <si>
    <t>Financial_Legal_Demand</t>
  </si>
  <si>
    <t>Grandiose_Delusions_(space_travel_astronauts)</t>
  </si>
  <si>
    <t>Grandiose_Confused_Identity</t>
  </si>
  <si>
    <t>Grandiose_Religious_Delusion_(condemnation)</t>
  </si>
  <si>
    <t>Grandiose_Religious_Delusion_(royal_condemnation)</t>
  </si>
  <si>
    <t>Hallucinations_Delusional_Memories</t>
  </si>
  <si>
    <t>Imprisonment_Confinement_(torture)</t>
  </si>
  <si>
    <t>Incoherent_Numerical</t>
  </si>
  <si>
    <t>Incoherent_Word_Salad</t>
  </si>
  <si>
    <t>Insult_Aggression</t>
  </si>
  <si>
    <t>Legal_Bureaucratic_Document</t>
  </si>
  <si>
    <t>Legal_Punitive_Fantasy</t>
  </si>
  <si>
    <t>Legal_Testamentary</t>
  </si>
  <si>
    <t>Logical_Philosophical_Reasoning</t>
  </si>
  <si>
    <t>Marital_Conflict_Infidelity_(incest)</t>
  </si>
  <si>
    <t>Medical_Psychiatric_History</t>
  </si>
  <si>
    <t>Medical_Psychological_History</t>
  </si>
  <si>
    <t>Military_Patriotism</t>
  </si>
  <si>
    <t>Mystical_Astrological_Prediction</t>
  </si>
  <si>
    <t>Mystical_Cosmological_Themes</t>
  </si>
  <si>
    <t>Mystical_Occult_Beliefs</t>
  </si>
  <si>
    <t>Narrative_Storytelling</t>
  </si>
  <si>
    <t>Persecution_Torture</t>
  </si>
  <si>
    <t>Plea_for_Release_Employment</t>
  </si>
  <si>
    <t>Poetic_Expression_Songwriting</t>
  </si>
  <si>
    <t>Political_Rebellion_Threat</t>
  </si>
  <si>
    <t>Political_Military_Themes</t>
  </si>
  <si>
    <t>Prayer_Religious_Expression</t>
  </si>
  <si>
    <t>Religious_Philosophical_Reflection</t>
  </si>
  <si>
    <t>Report_Complaint</t>
  </si>
  <si>
    <t>Romance_Nostalgia</t>
  </si>
  <si>
    <t>Self-awareness_Insight</t>
  </si>
  <si>
    <t>Self-awareness_Justification</t>
  </si>
  <si>
    <t>Self-defense_Justification</t>
  </si>
  <si>
    <t>Self-justification_Explanation</t>
  </si>
  <si>
    <t>Sexual_Assault_Rape</t>
  </si>
  <si>
    <t>Sexual_Delusions_Assault</t>
  </si>
  <si>
    <t>Sexual_Gender_Identity_Delusions</t>
  </si>
  <si>
    <t>Sexual_Genital_Delusions</t>
  </si>
  <si>
    <t>Thought_Influence_Control_(technology)</t>
  </si>
  <si>
    <t>Thought_Influence_Interception</t>
  </si>
  <si>
    <t>Vindication_Justice_(self-incriminating)</t>
  </si>
  <si>
    <t>Wordplay_Linguistic_Curiosity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</si>
</sst>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thor_profiles" connectionId="1" xr16:uid="{EEF008B9-F710-E04A-9A32-E66519BF618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thor_summary_with_doc_clusters" connectionId="2" xr16:uid="{002DE200-06C8-9A46-9B08-0C16A4949A4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_thematic_profiles_ALL_FRAMES" connectionId="3" xr16:uid="{7BA6B746-06EE-3645-9152-3753AC4EFDE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_thematic_profiles_ALL_FRAMES" connectionId="4" xr16:uid="{5DA1A616-DD71-5348-82C7-FA37C150AED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5AD1-6D19-AF4C-8E64-4AF09D3CC126}">
  <dimension ref="A1:YF103"/>
  <sheetViews>
    <sheetView workbookViewId="0"/>
  </sheetViews>
  <sheetFormatPr baseColWidth="10" defaultRowHeight="16" x14ac:dyDescent="0.2"/>
  <cols>
    <col min="1" max="1" width="32.33203125" bestFit="1" customWidth="1"/>
    <col min="2" max="2" width="35.5" bestFit="1" customWidth="1"/>
    <col min="3" max="3" width="20.6640625" bestFit="1" customWidth="1"/>
    <col min="4" max="4" width="36.5" bestFit="1" customWidth="1"/>
    <col min="5" max="5" width="46.5" bestFit="1" customWidth="1"/>
    <col min="6" max="6" width="12" bestFit="1" customWidth="1"/>
    <col min="7" max="22" width="12.1640625" bestFit="1" customWidth="1"/>
    <col min="23" max="23" width="12.83203125" bestFit="1" customWidth="1"/>
    <col min="24" max="24" width="18.1640625" bestFit="1" customWidth="1"/>
    <col min="25" max="25" width="12.5" bestFit="1" customWidth="1"/>
    <col min="26" max="26" width="12.6640625" bestFit="1" customWidth="1"/>
    <col min="27" max="27" width="13.33203125" bestFit="1" customWidth="1"/>
    <col min="28" max="28" width="12.5" bestFit="1" customWidth="1"/>
    <col min="29" max="30" width="12.1640625" bestFit="1" customWidth="1"/>
    <col min="31" max="31" width="12.83203125" bestFit="1" customWidth="1"/>
    <col min="32" max="32" width="12.1640625" bestFit="1" customWidth="1"/>
    <col min="33" max="33" width="12.5" bestFit="1" customWidth="1"/>
    <col min="34" max="34" width="12.6640625" bestFit="1" customWidth="1"/>
    <col min="35" max="35" width="13.33203125" bestFit="1" customWidth="1"/>
    <col min="36" max="36" width="12.5" bestFit="1" customWidth="1"/>
    <col min="37" max="38" width="12.1640625" bestFit="1" customWidth="1"/>
    <col min="39" max="39" width="12.83203125" bestFit="1" customWidth="1"/>
    <col min="40" max="40" width="12.1640625" bestFit="1" customWidth="1"/>
    <col min="41" max="41" width="14.1640625" bestFit="1" customWidth="1"/>
    <col min="42" max="42" width="21.6640625" bestFit="1" customWidth="1"/>
    <col min="43" max="43" width="22.6640625" bestFit="1" customWidth="1"/>
    <col min="44" max="44" width="23.5" bestFit="1" customWidth="1"/>
    <col min="45" max="45" width="29" bestFit="1" customWidth="1"/>
    <col min="46" max="46" width="26" bestFit="1" customWidth="1"/>
    <col min="47" max="47" width="28.83203125" bestFit="1" customWidth="1"/>
    <col min="48" max="48" width="21.5" bestFit="1" customWidth="1"/>
    <col min="49" max="49" width="16" bestFit="1" customWidth="1"/>
    <col min="50" max="50" width="23.5" bestFit="1" customWidth="1"/>
    <col min="51" max="51" width="26" bestFit="1" customWidth="1"/>
    <col min="52" max="52" width="27" bestFit="1" customWidth="1"/>
    <col min="53" max="53" width="32.5" bestFit="1" customWidth="1"/>
    <col min="54" max="54" width="29.5" bestFit="1" customWidth="1"/>
    <col min="55" max="55" width="32.33203125" bestFit="1" customWidth="1"/>
    <col min="56" max="56" width="24.83203125" bestFit="1" customWidth="1"/>
    <col min="57" max="57" width="19.5" bestFit="1" customWidth="1"/>
    <col min="58" max="58" width="27" bestFit="1" customWidth="1"/>
    <col min="59" max="59" width="12.33203125" bestFit="1" customWidth="1"/>
    <col min="60" max="60" width="24" bestFit="1" customWidth="1"/>
    <col min="61" max="61" width="10.1640625" bestFit="1" customWidth="1"/>
    <col min="62" max="62" width="23.5" bestFit="1" customWidth="1"/>
    <col min="63" max="63" width="27.33203125" bestFit="1" customWidth="1"/>
    <col min="64" max="64" width="26.33203125" bestFit="1" customWidth="1"/>
    <col min="65" max="65" width="15.83203125" bestFit="1" customWidth="1"/>
    <col min="66" max="66" width="13.6640625" bestFit="1" customWidth="1"/>
    <col min="67" max="67" width="14" bestFit="1" customWidth="1"/>
    <col min="68" max="68" width="11.1640625" bestFit="1" customWidth="1"/>
    <col min="69" max="69" width="13" bestFit="1" customWidth="1"/>
    <col min="70" max="70" width="20.6640625" bestFit="1" customWidth="1"/>
    <col min="71" max="71" width="21.5" bestFit="1" customWidth="1"/>
    <col min="72" max="72" width="7.33203125" bestFit="1" customWidth="1"/>
    <col min="73" max="73" width="16.5" bestFit="1" customWidth="1"/>
    <col min="74" max="74" width="22.1640625" bestFit="1" customWidth="1"/>
    <col min="75" max="75" width="24.5" bestFit="1" customWidth="1"/>
    <col min="76" max="76" width="22.33203125" bestFit="1" customWidth="1"/>
    <col min="77" max="77" width="17.5" bestFit="1" customWidth="1"/>
    <col min="78" max="78" width="24.6640625" bestFit="1" customWidth="1"/>
    <col min="79" max="79" width="22" bestFit="1" customWidth="1"/>
    <col min="80" max="80" width="22.1640625" bestFit="1" customWidth="1"/>
    <col min="81" max="81" width="32.1640625" bestFit="1" customWidth="1"/>
    <col min="82" max="82" width="8" bestFit="1" customWidth="1"/>
    <col min="83" max="83" width="15.33203125" bestFit="1" customWidth="1"/>
    <col min="84" max="84" width="22.5" bestFit="1" customWidth="1"/>
    <col min="85" max="85" width="26.1640625" bestFit="1" customWidth="1"/>
    <col min="86" max="86" width="23.83203125" bestFit="1" customWidth="1"/>
    <col min="87" max="87" width="21.1640625" bestFit="1" customWidth="1"/>
    <col min="88" max="88" width="20.1640625" bestFit="1" customWidth="1"/>
    <col min="89" max="89" width="19" bestFit="1" customWidth="1"/>
    <col min="90" max="90" width="19.5" bestFit="1" customWidth="1"/>
    <col min="91" max="91" width="19.1640625" bestFit="1" customWidth="1"/>
    <col min="92" max="92" width="12" bestFit="1" customWidth="1"/>
    <col min="93" max="93" width="14.33203125" bestFit="1" customWidth="1"/>
    <col min="94" max="94" width="9.6640625" bestFit="1" customWidth="1"/>
    <col min="95" max="95" width="19.5" bestFit="1" customWidth="1"/>
    <col min="96" max="96" width="24.83203125" bestFit="1" customWidth="1"/>
    <col min="97" max="97" width="19.6640625" bestFit="1" customWidth="1"/>
    <col min="98" max="98" width="10.1640625" bestFit="1" customWidth="1"/>
    <col min="99" max="99" width="17.83203125" bestFit="1" customWidth="1"/>
    <col min="100" max="100" width="31.33203125" bestFit="1" customWidth="1"/>
    <col min="101" max="101" width="19.33203125" bestFit="1" customWidth="1"/>
    <col min="102" max="102" width="10.33203125" bestFit="1" customWidth="1"/>
    <col min="103" max="103" width="24.1640625" bestFit="1" customWidth="1"/>
    <col min="104" max="104" width="18.33203125" bestFit="1" customWidth="1"/>
    <col min="105" max="105" width="25.83203125" bestFit="1" customWidth="1"/>
    <col min="106" max="106" width="27.6640625" bestFit="1" customWidth="1"/>
    <col min="107" max="107" width="18" bestFit="1" customWidth="1"/>
    <col min="108" max="108" width="18.83203125" bestFit="1" customWidth="1"/>
    <col min="109" max="109" width="26.83203125" bestFit="1" customWidth="1"/>
    <col min="110" max="110" width="17.33203125" bestFit="1" customWidth="1"/>
    <col min="111" max="111" width="24.33203125" bestFit="1" customWidth="1"/>
    <col min="112" max="112" width="18" bestFit="1" customWidth="1"/>
    <col min="113" max="113" width="24.6640625" bestFit="1" customWidth="1"/>
    <col min="114" max="114" width="21.5" bestFit="1" customWidth="1"/>
    <col min="115" max="115" width="18.6640625" bestFit="1" customWidth="1"/>
    <col min="116" max="116" width="17" bestFit="1" customWidth="1"/>
    <col min="117" max="117" width="20.83203125" bestFit="1" customWidth="1"/>
    <col min="118" max="118" width="21.5" bestFit="1" customWidth="1"/>
    <col min="119" max="119" width="22" bestFit="1" customWidth="1"/>
    <col min="120" max="120" width="16.83203125" bestFit="1" customWidth="1"/>
    <col min="121" max="121" width="17.1640625" bestFit="1" customWidth="1"/>
    <col min="122" max="122" width="12.1640625" bestFit="1" customWidth="1"/>
    <col min="123" max="123" width="7.5" bestFit="1" customWidth="1"/>
    <col min="124" max="124" width="14" bestFit="1" customWidth="1"/>
    <col min="125" max="125" width="18.1640625" bestFit="1" customWidth="1"/>
    <col min="126" max="126" width="26.33203125" bestFit="1" customWidth="1"/>
    <col min="127" max="127" width="9.33203125" bestFit="1" customWidth="1"/>
    <col min="128" max="128" width="15.5" bestFit="1" customWidth="1"/>
    <col min="129" max="129" width="12.33203125" bestFit="1" customWidth="1"/>
    <col min="130" max="130" width="14.6640625" bestFit="1" customWidth="1"/>
    <col min="131" max="131" width="13.33203125" bestFit="1" customWidth="1"/>
    <col min="132" max="132" width="20.5" bestFit="1" customWidth="1"/>
    <col min="133" max="133" width="15.6640625" bestFit="1" customWidth="1"/>
    <col min="134" max="134" width="20.6640625" bestFit="1" customWidth="1"/>
    <col min="135" max="135" width="18.5" bestFit="1" customWidth="1"/>
    <col min="136" max="136" width="12.83203125" bestFit="1" customWidth="1"/>
    <col min="137" max="137" width="13.83203125" bestFit="1" customWidth="1"/>
    <col min="138" max="138" width="16.33203125" bestFit="1" customWidth="1"/>
    <col min="139" max="139" width="20.33203125" bestFit="1" customWidth="1"/>
    <col min="140" max="140" width="28.33203125" bestFit="1" customWidth="1"/>
    <col min="141" max="141" width="13" bestFit="1" customWidth="1"/>
    <col min="142" max="142" width="11.33203125" bestFit="1" customWidth="1"/>
    <col min="143" max="143" width="17" bestFit="1" customWidth="1"/>
    <col min="144" max="144" width="16.83203125" bestFit="1" customWidth="1"/>
    <col min="145" max="145" width="15.33203125" bestFit="1" customWidth="1"/>
    <col min="146" max="146" width="15.6640625" bestFit="1" customWidth="1"/>
    <col min="147" max="147" width="27.5" bestFit="1" customWidth="1"/>
    <col min="148" max="148" width="20.83203125" bestFit="1" customWidth="1"/>
    <col min="149" max="149" width="17.5" bestFit="1" customWidth="1"/>
    <col min="150" max="150" width="17.33203125" bestFit="1" customWidth="1"/>
    <col min="151" max="151" width="7.6640625" bestFit="1" customWidth="1"/>
    <col min="152" max="152" width="25" bestFit="1" customWidth="1"/>
    <col min="153" max="153" width="18" bestFit="1" customWidth="1"/>
    <col min="154" max="154" width="31" bestFit="1" customWidth="1"/>
    <col min="155" max="155" width="30.6640625" bestFit="1" customWidth="1"/>
    <col min="156" max="156" width="43.33203125" bestFit="1" customWidth="1"/>
    <col min="157" max="157" width="25.83203125" bestFit="1" customWidth="1"/>
    <col min="158" max="158" width="36.33203125" bestFit="1" customWidth="1"/>
    <col min="159" max="159" width="36" bestFit="1" customWidth="1"/>
    <col min="160" max="160" width="32.83203125" bestFit="1" customWidth="1"/>
    <col min="161" max="161" width="28" bestFit="1" customWidth="1"/>
    <col min="162" max="162" width="36.1640625" bestFit="1" customWidth="1"/>
    <col min="163" max="163" width="34" bestFit="1" customWidth="1"/>
    <col min="164" max="164" width="29.33203125" bestFit="1" customWidth="1"/>
    <col min="165" max="165" width="28" bestFit="1" customWidth="1"/>
    <col min="166" max="166" width="34.6640625" bestFit="1" customWidth="1"/>
    <col min="167" max="167" width="26" bestFit="1" customWidth="1"/>
    <col min="168" max="168" width="31" bestFit="1" customWidth="1"/>
    <col min="169" max="169" width="41.5" bestFit="1" customWidth="1"/>
    <col min="170" max="170" width="35.33203125" bestFit="1" customWidth="1"/>
    <col min="171" max="171" width="30.83203125" bestFit="1" customWidth="1"/>
    <col min="172" max="172" width="37" bestFit="1" customWidth="1"/>
    <col min="173" max="173" width="39.83203125" bestFit="1" customWidth="1"/>
    <col min="174" max="174" width="32" bestFit="1" customWidth="1"/>
    <col min="175" max="175" width="30" bestFit="1" customWidth="1"/>
    <col min="176" max="176" width="39.5" bestFit="1" customWidth="1"/>
    <col min="177" max="177" width="24.6640625" bestFit="1" customWidth="1"/>
    <col min="178" max="178" width="39.1640625" bestFit="1" customWidth="1"/>
    <col min="179" max="179" width="43.6640625" bestFit="1" customWidth="1"/>
    <col min="180" max="180" width="18.5" bestFit="1" customWidth="1"/>
    <col min="181" max="181" width="25.5" bestFit="1" customWidth="1"/>
    <col min="182" max="182" width="32.5" bestFit="1" customWidth="1"/>
    <col min="183" max="183" width="9" bestFit="1" customWidth="1"/>
    <col min="184" max="184" width="24.6640625" bestFit="1" customWidth="1"/>
    <col min="185" max="185" width="21.6640625" bestFit="1" customWidth="1"/>
    <col min="186" max="186" width="19.5" bestFit="1" customWidth="1"/>
    <col min="187" max="187" width="27.33203125" bestFit="1" customWidth="1"/>
    <col min="188" max="188" width="31.1640625" bestFit="1" customWidth="1"/>
    <col min="189" max="189" width="20.6640625" bestFit="1" customWidth="1"/>
    <col min="190" max="190" width="14.5" bestFit="1" customWidth="1"/>
    <col min="191" max="191" width="14.6640625" bestFit="1" customWidth="1"/>
    <col min="192" max="192" width="15.1640625" bestFit="1" customWidth="1"/>
    <col min="193" max="193" width="15.83203125" bestFit="1" customWidth="1"/>
    <col min="194" max="194" width="14.83203125" bestFit="1" customWidth="1"/>
    <col min="195" max="195" width="14" bestFit="1" customWidth="1"/>
    <col min="196" max="196" width="14.5" bestFit="1" customWidth="1"/>
    <col min="197" max="197" width="14.83203125" bestFit="1" customWidth="1"/>
    <col min="198" max="198" width="23.83203125" bestFit="1" customWidth="1"/>
    <col min="199" max="199" width="31.33203125" bestFit="1" customWidth="1"/>
    <col min="200" max="200" width="24" bestFit="1" customWidth="1"/>
    <col min="201" max="201" width="19" bestFit="1" customWidth="1"/>
    <col min="202" max="202" width="19.33203125" bestFit="1" customWidth="1"/>
    <col min="203" max="204" width="20" bestFit="1" customWidth="1"/>
    <col min="205" max="205" width="28" bestFit="1" customWidth="1"/>
    <col min="206" max="206" width="14.83203125" bestFit="1" customWidth="1"/>
    <col min="207" max="207" width="6.5" bestFit="1" customWidth="1"/>
    <col min="208" max="208" width="19.1640625" bestFit="1" customWidth="1"/>
    <col min="209" max="209" width="8.6640625" bestFit="1" customWidth="1"/>
    <col min="210" max="210" width="10" bestFit="1" customWidth="1"/>
    <col min="211" max="211" width="25.83203125" bestFit="1" customWidth="1"/>
    <col min="212" max="212" width="19.33203125" bestFit="1" customWidth="1"/>
    <col min="213" max="213" width="17.1640625" bestFit="1" customWidth="1"/>
    <col min="214" max="214" width="12" bestFit="1" customWidth="1"/>
    <col min="215" max="215" width="27.5" bestFit="1" customWidth="1"/>
    <col min="216" max="216" width="29" bestFit="1" customWidth="1"/>
    <col min="217" max="217" width="18" bestFit="1" customWidth="1"/>
    <col min="218" max="218" width="19" bestFit="1" customWidth="1"/>
    <col min="219" max="219" width="13.1640625" bestFit="1" customWidth="1"/>
    <col min="220" max="220" width="12.5" bestFit="1" customWidth="1"/>
    <col min="221" max="221" width="13.33203125" bestFit="1" customWidth="1"/>
    <col min="222" max="222" width="13.83203125" bestFit="1" customWidth="1"/>
    <col min="223" max="223" width="28.6640625" bestFit="1" customWidth="1"/>
    <col min="224" max="224" width="22.33203125" bestFit="1" customWidth="1"/>
    <col min="225" max="225" width="15.83203125" bestFit="1" customWidth="1"/>
    <col min="226" max="226" width="16.5" bestFit="1" customWidth="1"/>
    <col min="227" max="227" width="21.5" bestFit="1" customWidth="1"/>
    <col min="228" max="228" width="23.83203125" bestFit="1" customWidth="1"/>
    <col min="229" max="229" width="25.83203125" bestFit="1" customWidth="1"/>
    <col min="230" max="230" width="22.1640625" bestFit="1" customWidth="1"/>
    <col min="231" max="231" width="15.1640625" bestFit="1" customWidth="1"/>
    <col min="232" max="232" width="16.5" bestFit="1" customWidth="1"/>
    <col min="233" max="233" width="7.33203125" bestFit="1" customWidth="1"/>
    <col min="234" max="234" width="12.1640625" bestFit="1" customWidth="1"/>
    <col min="235" max="235" width="16.6640625" bestFit="1" customWidth="1"/>
    <col min="236" max="236" width="27.33203125" bestFit="1" customWidth="1"/>
    <col min="237" max="237" width="26.6640625" bestFit="1" customWidth="1"/>
    <col min="238" max="238" width="20.1640625" bestFit="1" customWidth="1"/>
    <col min="239" max="239" width="24.6640625" bestFit="1" customWidth="1"/>
    <col min="240" max="240" width="25.33203125" bestFit="1" customWidth="1"/>
    <col min="241" max="241" width="26.33203125" bestFit="1" customWidth="1"/>
    <col min="242" max="242" width="18.83203125" bestFit="1" customWidth="1"/>
    <col min="243" max="243" width="19.6640625" bestFit="1" customWidth="1"/>
    <col min="244" max="244" width="10.5" bestFit="1" customWidth="1"/>
    <col min="246" max="246" width="12.83203125" bestFit="1" customWidth="1"/>
    <col min="247" max="247" width="9.5" bestFit="1" customWidth="1"/>
    <col min="249" max="249" width="21" bestFit="1" customWidth="1"/>
    <col min="250" max="250" width="17.33203125" bestFit="1" customWidth="1"/>
    <col min="251" max="251" width="19.33203125" bestFit="1" customWidth="1"/>
    <col min="252" max="254" width="17.5" bestFit="1" customWidth="1"/>
    <col min="255" max="255" width="18" bestFit="1" customWidth="1"/>
    <col min="256" max="256" width="14" bestFit="1" customWidth="1"/>
    <col min="257" max="257" width="20" bestFit="1" customWidth="1"/>
    <col min="258" max="258" width="20.83203125" bestFit="1" customWidth="1"/>
    <col min="259" max="259" width="21.5" bestFit="1" customWidth="1"/>
    <col min="260" max="260" width="14" bestFit="1" customWidth="1"/>
    <col min="261" max="261" width="25" bestFit="1" customWidth="1"/>
    <col min="262" max="262" width="15.33203125" bestFit="1" customWidth="1"/>
    <col min="263" max="263" width="24" bestFit="1" customWidth="1"/>
    <col min="264" max="264" width="25.6640625" bestFit="1" customWidth="1"/>
    <col min="265" max="265" width="15.5" bestFit="1" customWidth="1"/>
    <col min="266" max="266" width="8.83203125" bestFit="1" customWidth="1"/>
    <col min="267" max="267" width="22.1640625" bestFit="1" customWidth="1"/>
    <col min="268" max="268" width="14.33203125" bestFit="1" customWidth="1"/>
    <col min="269" max="269" width="21.83203125" bestFit="1" customWidth="1"/>
    <col min="270" max="270" width="23.1640625" bestFit="1" customWidth="1"/>
    <col min="271" max="271" width="22" bestFit="1" customWidth="1"/>
    <col min="272" max="272" width="13" bestFit="1" customWidth="1"/>
    <col min="273" max="273" width="16.83203125" bestFit="1" customWidth="1"/>
    <col min="274" max="274" width="28" bestFit="1" customWidth="1"/>
    <col min="275" max="275" width="14.33203125" bestFit="1" customWidth="1"/>
    <col min="276" max="276" width="21.5" bestFit="1" customWidth="1"/>
    <col min="277" max="277" width="19.33203125" bestFit="1" customWidth="1"/>
    <col min="278" max="278" width="21.5" bestFit="1" customWidth="1"/>
    <col min="279" max="279" width="22.83203125" bestFit="1" customWidth="1"/>
    <col min="280" max="280" width="23.6640625" bestFit="1" customWidth="1"/>
    <col min="281" max="281" width="18.33203125" bestFit="1" customWidth="1"/>
    <col min="282" max="282" width="7" bestFit="1" customWidth="1"/>
    <col min="283" max="283" width="19.1640625" bestFit="1" customWidth="1"/>
    <col min="284" max="284" width="16.33203125" bestFit="1" customWidth="1"/>
    <col min="285" max="285" width="13.83203125" bestFit="1" customWidth="1"/>
    <col min="286" max="286" width="15" bestFit="1" customWidth="1"/>
    <col min="287" max="287" width="23.83203125" bestFit="1" customWidth="1"/>
    <col min="288" max="288" width="29.1640625" bestFit="1" customWidth="1"/>
    <col min="289" max="289" width="18.33203125" bestFit="1" customWidth="1"/>
    <col min="290" max="290" width="14" bestFit="1" customWidth="1"/>
    <col min="291" max="291" width="17.5" bestFit="1" customWidth="1"/>
    <col min="292" max="292" width="28" bestFit="1" customWidth="1"/>
    <col min="293" max="293" width="25.33203125" bestFit="1" customWidth="1"/>
    <col min="294" max="294" width="15.5" bestFit="1" customWidth="1"/>
    <col min="295" max="295" width="15.83203125" bestFit="1" customWidth="1"/>
    <col min="296" max="296" width="8" bestFit="1" customWidth="1"/>
    <col min="297" max="297" width="18.1640625" bestFit="1" customWidth="1"/>
    <col min="298" max="298" width="17.33203125" bestFit="1" customWidth="1"/>
    <col min="299" max="299" width="19.6640625" bestFit="1" customWidth="1"/>
    <col min="300" max="300" width="24.33203125" bestFit="1" customWidth="1"/>
    <col min="301" max="301" width="20.33203125" bestFit="1" customWidth="1"/>
    <col min="302" max="302" width="22" bestFit="1" customWidth="1"/>
    <col min="303" max="303" width="14.5" bestFit="1" customWidth="1"/>
    <col min="304" max="304" width="25" bestFit="1" customWidth="1"/>
    <col min="305" max="305" width="17.6640625" bestFit="1" customWidth="1"/>
    <col min="306" max="306" width="21.6640625" bestFit="1" customWidth="1"/>
    <col min="307" max="307" width="21.5" bestFit="1" customWidth="1"/>
    <col min="308" max="308" width="28.5" bestFit="1" customWidth="1"/>
    <col min="309" max="309" width="21.83203125" bestFit="1" customWidth="1"/>
    <col min="310" max="310" width="15.33203125" bestFit="1" customWidth="1"/>
    <col min="311" max="311" width="20.6640625" bestFit="1" customWidth="1"/>
    <col min="312" max="312" width="13.6640625" bestFit="1" customWidth="1"/>
    <col min="313" max="313" width="14.1640625" bestFit="1" customWidth="1"/>
    <col min="314" max="314" width="17.1640625" bestFit="1" customWidth="1"/>
    <col min="315" max="315" width="13" bestFit="1" customWidth="1"/>
    <col min="316" max="316" width="13.1640625" bestFit="1" customWidth="1"/>
    <col min="317" max="317" width="32" bestFit="1" customWidth="1"/>
    <col min="318" max="318" width="13.6640625" bestFit="1" customWidth="1"/>
    <col min="319" max="319" width="13.5" bestFit="1" customWidth="1"/>
    <col min="320" max="320" width="17.6640625" bestFit="1" customWidth="1"/>
    <col min="321" max="321" width="20.6640625" bestFit="1" customWidth="1"/>
    <col min="322" max="322" width="14.1640625" bestFit="1" customWidth="1"/>
    <col min="323" max="323" width="16.83203125" bestFit="1" customWidth="1"/>
    <col min="324" max="324" width="17.6640625" bestFit="1" customWidth="1"/>
    <col min="325" max="325" width="16.33203125" bestFit="1" customWidth="1"/>
    <col min="326" max="326" width="18.1640625" bestFit="1" customWidth="1"/>
    <col min="327" max="327" width="16.83203125" bestFit="1" customWidth="1"/>
    <col min="328" max="328" width="8.1640625" bestFit="1" customWidth="1"/>
    <col min="329" max="329" width="14" bestFit="1" customWidth="1"/>
    <col min="330" max="330" width="23.6640625" bestFit="1" customWidth="1"/>
    <col min="331" max="331" width="14" bestFit="1" customWidth="1"/>
    <col min="332" max="332" width="25.5" bestFit="1" customWidth="1"/>
    <col min="333" max="333" width="33.6640625" bestFit="1" customWidth="1"/>
    <col min="334" max="334" width="22.6640625" bestFit="1" customWidth="1"/>
    <col min="335" max="335" width="32.6640625" bestFit="1" customWidth="1"/>
    <col min="336" max="336" width="5.1640625" bestFit="1" customWidth="1"/>
    <col min="337" max="337" width="15.33203125" bestFit="1" customWidth="1"/>
    <col min="338" max="338" width="33.33203125" bestFit="1" customWidth="1"/>
    <col min="339" max="339" width="26.33203125" bestFit="1" customWidth="1"/>
    <col min="340" max="340" width="27" bestFit="1" customWidth="1"/>
    <col min="341" max="341" width="22.33203125" bestFit="1" customWidth="1"/>
    <col min="342" max="342" width="27.6640625" bestFit="1" customWidth="1"/>
    <col min="343" max="343" width="18.6640625" bestFit="1" customWidth="1"/>
    <col min="344" max="344" width="7.1640625" bestFit="1" customWidth="1"/>
    <col min="345" max="345" width="7" bestFit="1" customWidth="1"/>
    <col min="346" max="346" width="13.6640625" bestFit="1" customWidth="1"/>
    <col min="347" max="347" width="12" bestFit="1" customWidth="1"/>
    <col min="348" max="348" width="16.83203125" bestFit="1" customWidth="1"/>
    <col min="349" max="349" width="33.1640625" bestFit="1" customWidth="1"/>
    <col min="350" max="350" width="17" bestFit="1" customWidth="1"/>
    <col min="351" max="351" width="14.83203125" bestFit="1" customWidth="1"/>
    <col min="352" max="352" width="4.5" bestFit="1" customWidth="1"/>
    <col min="353" max="353" width="13.83203125" bestFit="1" customWidth="1"/>
    <col min="354" max="354" width="19.5" bestFit="1" customWidth="1"/>
    <col min="355" max="355" width="19.1640625" bestFit="1" customWidth="1"/>
    <col min="356" max="356" width="16.83203125" bestFit="1" customWidth="1"/>
    <col min="357" max="357" width="25.1640625" bestFit="1" customWidth="1"/>
    <col min="358" max="358" width="17.83203125" bestFit="1" customWidth="1"/>
    <col min="359" max="359" width="29.5" bestFit="1" customWidth="1"/>
    <col min="360" max="360" width="15.5" bestFit="1" customWidth="1"/>
    <col min="361" max="361" width="29" bestFit="1" customWidth="1"/>
    <col min="362" max="362" width="32.83203125" bestFit="1" customWidth="1"/>
    <col min="363" max="363" width="32" bestFit="1" customWidth="1"/>
    <col min="364" max="364" width="21.5" bestFit="1" customWidth="1"/>
    <col min="365" max="365" width="19.1640625" bestFit="1" customWidth="1"/>
    <col min="366" max="366" width="19.5" bestFit="1" customWidth="1"/>
    <col min="367" max="367" width="16.6640625" bestFit="1" customWidth="1"/>
    <col min="368" max="368" width="18.5" bestFit="1" customWidth="1"/>
    <col min="369" max="369" width="26.1640625" bestFit="1" customWidth="1"/>
    <col min="370" max="370" width="27" bestFit="1" customWidth="1"/>
    <col min="371" max="371" width="12.6640625" bestFit="1" customWidth="1"/>
    <col min="372" max="372" width="22" bestFit="1" customWidth="1"/>
    <col min="373" max="373" width="27.6640625" bestFit="1" customWidth="1"/>
    <col min="374" max="374" width="30" bestFit="1" customWidth="1"/>
    <col min="375" max="375" width="27.83203125" bestFit="1" customWidth="1"/>
    <col min="376" max="376" width="23" bestFit="1" customWidth="1"/>
    <col min="377" max="377" width="30.1640625" bestFit="1" customWidth="1"/>
    <col min="378" max="378" width="27.5" bestFit="1" customWidth="1"/>
    <col min="379" max="379" width="27.6640625" bestFit="1" customWidth="1"/>
    <col min="380" max="380" width="37.6640625" bestFit="1" customWidth="1"/>
    <col min="381" max="381" width="13.33203125" bestFit="1" customWidth="1"/>
    <col min="382" max="382" width="20.83203125" bestFit="1" customWidth="1"/>
    <col min="383" max="383" width="28" bestFit="1" customWidth="1"/>
    <col min="384" max="384" width="31.83203125" bestFit="1" customWidth="1"/>
    <col min="385" max="385" width="29.33203125" bestFit="1" customWidth="1"/>
    <col min="386" max="386" width="26.83203125" bestFit="1" customWidth="1"/>
    <col min="387" max="387" width="25.6640625" bestFit="1" customWidth="1"/>
    <col min="388" max="388" width="24.5" bestFit="1" customWidth="1"/>
    <col min="389" max="389" width="25" bestFit="1" customWidth="1"/>
    <col min="390" max="390" width="24.6640625" bestFit="1" customWidth="1"/>
    <col min="391" max="391" width="17.5" bestFit="1" customWidth="1"/>
    <col min="392" max="392" width="19.83203125" bestFit="1" customWidth="1"/>
    <col min="393" max="393" width="15" bestFit="1" customWidth="1"/>
    <col min="394" max="394" width="25" bestFit="1" customWidth="1"/>
    <col min="395" max="395" width="30.33203125" bestFit="1" customWidth="1"/>
    <col min="396" max="396" width="25.1640625" bestFit="1" customWidth="1"/>
    <col min="397" max="397" width="15.5" bestFit="1" customWidth="1"/>
    <col min="398" max="398" width="23.33203125" bestFit="1" customWidth="1"/>
    <col min="399" max="399" width="37" bestFit="1" customWidth="1"/>
    <col min="400" max="400" width="24.83203125" bestFit="1" customWidth="1"/>
    <col min="401" max="401" width="15.6640625" bestFit="1" customWidth="1"/>
    <col min="402" max="402" width="29.6640625" bestFit="1" customWidth="1"/>
    <col min="403" max="403" width="23.83203125" bestFit="1" customWidth="1"/>
    <col min="404" max="404" width="31.33203125" bestFit="1" customWidth="1"/>
    <col min="405" max="405" width="33.1640625" bestFit="1" customWidth="1"/>
    <col min="406" max="406" width="23.5" bestFit="1" customWidth="1"/>
    <col min="407" max="407" width="24.33203125" bestFit="1" customWidth="1"/>
    <col min="408" max="408" width="32.33203125" bestFit="1" customWidth="1"/>
    <col min="409" max="409" width="22.83203125" bestFit="1" customWidth="1"/>
    <col min="410" max="410" width="29.83203125" bestFit="1" customWidth="1"/>
    <col min="411" max="411" width="23.5" bestFit="1" customWidth="1"/>
    <col min="412" max="412" width="30.1640625" bestFit="1" customWidth="1"/>
    <col min="413" max="413" width="27" bestFit="1" customWidth="1"/>
    <col min="414" max="414" width="24.1640625" bestFit="1" customWidth="1"/>
    <col min="415" max="415" width="22.5" bestFit="1" customWidth="1"/>
    <col min="416" max="416" width="26.33203125" bestFit="1" customWidth="1"/>
    <col min="417" max="417" width="27" bestFit="1" customWidth="1"/>
    <col min="418" max="418" width="27.5" bestFit="1" customWidth="1"/>
    <col min="419" max="419" width="22.33203125" bestFit="1" customWidth="1"/>
    <col min="420" max="420" width="22.6640625" bestFit="1" customWidth="1"/>
    <col min="421" max="421" width="17.6640625" bestFit="1" customWidth="1"/>
    <col min="422" max="422" width="12.83203125" bestFit="1" customWidth="1"/>
    <col min="423" max="423" width="19.5" bestFit="1" customWidth="1"/>
    <col min="424" max="424" width="23.6640625" bestFit="1" customWidth="1"/>
    <col min="425" max="425" width="32" bestFit="1" customWidth="1"/>
    <col min="426" max="426" width="14.6640625" bestFit="1" customWidth="1"/>
    <col min="427" max="427" width="21" bestFit="1" customWidth="1"/>
    <col min="428" max="428" width="17.83203125" bestFit="1" customWidth="1"/>
    <col min="429" max="429" width="20.1640625" bestFit="1" customWidth="1"/>
    <col min="430" max="430" width="18.83203125" bestFit="1" customWidth="1"/>
    <col min="431" max="431" width="26" bestFit="1" customWidth="1"/>
    <col min="432" max="432" width="21.1640625" bestFit="1" customWidth="1"/>
    <col min="433" max="433" width="26.1640625" bestFit="1" customWidth="1"/>
    <col min="434" max="434" width="24" bestFit="1" customWidth="1"/>
    <col min="435" max="435" width="18.33203125" bestFit="1" customWidth="1"/>
    <col min="436" max="436" width="19.33203125" bestFit="1" customWidth="1"/>
    <col min="437" max="437" width="21.83203125" bestFit="1" customWidth="1"/>
    <col min="438" max="438" width="25.83203125" bestFit="1" customWidth="1"/>
    <col min="439" max="439" width="33.83203125" bestFit="1" customWidth="1"/>
    <col min="440" max="440" width="18.5" bestFit="1" customWidth="1"/>
    <col min="441" max="441" width="16.83203125" bestFit="1" customWidth="1"/>
    <col min="442" max="442" width="22.5" bestFit="1" customWidth="1"/>
    <col min="443" max="443" width="22.33203125" bestFit="1" customWidth="1"/>
    <col min="444" max="444" width="20.83203125" bestFit="1" customWidth="1"/>
    <col min="445" max="445" width="21.1640625" bestFit="1" customWidth="1"/>
    <col min="446" max="446" width="33" bestFit="1" customWidth="1"/>
    <col min="447" max="447" width="26.33203125" bestFit="1" customWidth="1"/>
    <col min="448" max="448" width="23" bestFit="1" customWidth="1"/>
    <col min="449" max="449" width="22.83203125" bestFit="1" customWidth="1"/>
    <col min="450" max="450" width="13" bestFit="1" customWidth="1"/>
    <col min="451" max="451" width="30.5" bestFit="1" customWidth="1"/>
    <col min="452" max="452" width="23.5" bestFit="1" customWidth="1"/>
    <col min="453" max="453" width="36.5" bestFit="1" customWidth="1"/>
    <col min="454" max="454" width="36.1640625" bestFit="1" customWidth="1"/>
    <col min="455" max="455" width="48.83203125" bestFit="1" customWidth="1"/>
    <col min="456" max="456" width="31.33203125" bestFit="1" customWidth="1"/>
    <col min="457" max="457" width="41.83203125" bestFit="1" customWidth="1"/>
    <col min="458" max="458" width="41.5" bestFit="1" customWidth="1"/>
    <col min="459" max="459" width="38.33203125" bestFit="1" customWidth="1"/>
    <col min="460" max="460" width="33.5" bestFit="1" customWidth="1"/>
    <col min="461" max="461" width="41.6640625" bestFit="1" customWidth="1"/>
    <col min="462" max="462" width="39.5" bestFit="1" customWidth="1"/>
    <col min="463" max="463" width="34.83203125" bestFit="1" customWidth="1"/>
    <col min="464" max="464" width="33.5" bestFit="1" customWidth="1"/>
    <col min="465" max="465" width="40.1640625" bestFit="1" customWidth="1"/>
    <col min="466" max="466" width="31.5" bestFit="1" customWidth="1"/>
    <col min="467" max="467" width="36.5" bestFit="1" customWidth="1"/>
    <col min="468" max="468" width="47" bestFit="1" customWidth="1"/>
    <col min="469" max="469" width="40.83203125" bestFit="1" customWidth="1"/>
    <col min="470" max="470" width="36.33203125" bestFit="1" customWidth="1"/>
    <col min="471" max="471" width="42.5" bestFit="1" customWidth="1"/>
    <col min="472" max="472" width="45.33203125" bestFit="1" customWidth="1"/>
    <col min="473" max="473" width="37.5" bestFit="1" customWidth="1"/>
    <col min="474" max="474" width="35.5" bestFit="1" customWidth="1"/>
    <col min="475" max="475" width="45" bestFit="1" customWidth="1"/>
    <col min="476" max="476" width="30.1640625" bestFit="1" customWidth="1"/>
    <col min="477" max="477" width="44.6640625" bestFit="1" customWidth="1"/>
    <col min="478" max="478" width="49.1640625" bestFit="1" customWidth="1"/>
    <col min="479" max="479" width="24" bestFit="1" customWidth="1"/>
    <col min="480" max="480" width="31" bestFit="1" customWidth="1"/>
    <col min="481" max="481" width="38" bestFit="1" customWidth="1"/>
    <col min="482" max="482" width="14.33203125" bestFit="1" customWidth="1"/>
    <col min="483" max="483" width="30.1640625" bestFit="1" customWidth="1"/>
    <col min="484" max="484" width="27.1640625" bestFit="1" customWidth="1"/>
    <col min="485" max="485" width="25" bestFit="1" customWidth="1"/>
    <col min="486" max="486" width="32.83203125" bestFit="1" customWidth="1"/>
    <col min="487" max="487" width="36.6640625" bestFit="1" customWidth="1"/>
    <col min="488" max="488" width="26.1640625" bestFit="1" customWidth="1"/>
    <col min="489" max="489" width="20" bestFit="1" customWidth="1"/>
    <col min="490" max="490" width="20.1640625" bestFit="1" customWidth="1"/>
    <col min="491" max="491" width="20.6640625" bestFit="1" customWidth="1"/>
    <col min="492" max="492" width="21.5" bestFit="1" customWidth="1"/>
    <col min="493" max="493" width="20.33203125" bestFit="1" customWidth="1"/>
    <col min="494" max="494" width="19.5" bestFit="1" customWidth="1"/>
    <col min="495" max="495" width="20" bestFit="1" customWidth="1"/>
    <col min="496" max="496" width="20.33203125" bestFit="1" customWidth="1"/>
    <col min="497" max="497" width="29.33203125" bestFit="1" customWidth="1"/>
    <col min="498" max="498" width="37" bestFit="1" customWidth="1"/>
    <col min="499" max="499" width="29.5" bestFit="1" customWidth="1"/>
    <col min="500" max="500" width="24.5" bestFit="1" customWidth="1"/>
    <col min="501" max="501" width="24.83203125" bestFit="1" customWidth="1"/>
    <col min="502" max="503" width="25.5" bestFit="1" customWidth="1"/>
    <col min="504" max="504" width="33.5" bestFit="1" customWidth="1"/>
    <col min="505" max="505" width="20.33203125" bestFit="1" customWidth="1"/>
    <col min="506" max="506" width="11.83203125" bestFit="1" customWidth="1"/>
    <col min="507" max="507" width="24.6640625" bestFit="1" customWidth="1"/>
    <col min="508" max="508" width="14" bestFit="1" customWidth="1"/>
    <col min="509" max="509" width="15.33203125" bestFit="1" customWidth="1"/>
    <col min="510" max="510" width="31.33203125" bestFit="1" customWidth="1"/>
    <col min="511" max="511" width="24.83203125" bestFit="1" customWidth="1"/>
    <col min="512" max="512" width="22.6640625" bestFit="1" customWidth="1"/>
    <col min="513" max="513" width="17.5" bestFit="1" customWidth="1"/>
    <col min="514" max="514" width="33" bestFit="1" customWidth="1"/>
    <col min="515" max="515" width="34.5" bestFit="1" customWidth="1"/>
    <col min="516" max="516" width="23.5" bestFit="1" customWidth="1"/>
    <col min="517" max="517" width="24.5" bestFit="1" customWidth="1"/>
    <col min="518" max="518" width="18.6640625" bestFit="1" customWidth="1"/>
    <col min="519" max="519" width="18" bestFit="1" customWidth="1"/>
    <col min="520" max="520" width="18.83203125" bestFit="1" customWidth="1"/>
    <col min="521" max="521" width="19.33203125" bestFit="1" customWidth="1"/>
    <col min="522" max="522" width="34.1640625" bestFit="1" customWidth="1"/>
    <col min="523" max="523" width="27.83203125" bestFit="1" customWidth="1"/>
    <col min="524" max="524" width="21.5" bestFit="1" customWidth="1"/>
    <col min="525" max="525" width="22" bestFit="1" customWidth="1"/>
    <col min="526" max="526" width="27" bestFit="1" customWidth="1"/>
    <col min="527" max="527" width="29.33203125" bestFit="1" customWidth="1"/>
    <col min="528" max="528" width="31.33203125" bestFit="1" customWidth="1"/>
    <col min="529" max="529" width="27.6640625" bestFit="1" customWidth="1"/>
    <col min="530" max="530" width="20.6640625" bestFit="1" customWidth="1"/>
    <col min="531" max="531" width="22" bestFit="1" customWidth="1"/>
    <col min="532" max="532" width="12.6640625" bestFit="1" customWidth="1"/>
    <col min="533" max="533" width="17.6640625" bestFit="1" customWidth="1"/>
    <col min="534" max="534" width="22.1640625" bestFit="1" customWidth="1"/>
    <col min="535" max="535" width="32.83203125" bestFit="1" customWidth="1"/>
    <col min="536" max="536" width="32.1640625" bestFit="1" customWidth="1"/>
    <col min="537" max="537" width="25.6640625" bestFit="1" customWidth="1"/>
    <col min="538" max="538" width="30.1640625" bestFit="1" customWidth="1"/>
    <col min="539" max="539" width="30.83203125" bestFit="1" customWidth="1"/>
    <col min="540" max="540" width="32" bestFit="1" customWidth="1"/>
    <col min="541" max="541" width="24.33203125" bestFit="1" customWidth="1"/>
    <col min="542" max="542" width="25.1640625" bestFit="1" customWidth="1"/>
    <col min="543" max="543" width="15.83203125" bestFit="1" customWidth="1"/>
    <col min="544" max="544" width="16.33203125" bestFit="1" customWidth="1"/>
    <col min="545" max="545" width="18.33203125" bestFit="1" customWidth="1"/>
    <col min="546" max="546" width="14.83203125" bestFit="1" customWidth="1"/>
    <col min="547" max="547" width="16.33203125" bestFit="1" customWidth="1"/>
    <col min="548" max="548" width="26.6640625" bestFit="1" customWidth="1"/>
    <col min="549" max="549" width="22.83203125" bestFit="1" customWidth="1"/>
    <col min="550" max="550" width="24.83203125" bestFit="1" customWidth="1"/>
    <col min="551" max="553" width="23" bestFit="1" customWidth="1"/>
    <col min="554" max="554" width="23.5" bestFit="1" customWidth="1"/>
    <col min="555" max="555" width="19.5" bestFit="1" customWidth="1"/>
    <col min="556" max="556" width="25.5" bestFit="1" customWidth="1"/>
    <col min="557" max="557" width="26.33203125" bestFit="1" customWidth="1"/>
    <col min="558" max="558" width="27" bestFit="1" customWidth="1"/>
    <col min="559" max="559" width="19.5" bestFit="1" customWidth="1"/>
    <col min="560" max="560" width="30.5" bestFit="1" customWidth="1"/>
    <col min="561" max="561" width="20.83203125" bestFit="1" customWidth="1"/>
    <col min="562" max="562" width="29.5" bestFit="1" customWidth="1"/>
    <col min="563" max="563" width="31.1640625" bestFit="1" customWidth="1"/>
    <col min="564" max="564" width="21" bestFit="1" customWidth="1"/>
    <col min="565" max="565" width="14.1640625" bestFit="1" customWidth="1"/>
    <col min="566" max="566" width="27.6640625" bestFit="1" customWidth="1"/>
    <col min="567" max="567" width="19.83203125" bestFit="1" customWidth="1"/>
    <col min="568" max="568" width="27.33203125" bestFit="1" customWidth="1"/>
    <col min="569" max="569" width="28.6640625" bestFit="1" customWidth="1"/>
    <col min="570" max="570" width="27.5" bestFit="1" customWidth="1"/>
    <col min="571" max="571" width="18.5" bestFit="1" customWidth="1"/>
    <col min="572" max="572" width="22.33203125" bestFit="1" customWidth="1"/>
    <col min="573" max="573" width="33.5" bestFit="1" customWidth="1"/>
    <col min="574" max="574" width="19.83203125" bestFit="1" customWidth="1"/>
    <col min="575" max="575" width="27" bestFit="1" customWidth="1"/>
    <col min="576" max="576" width="24.83203125" bestFit="1" customWidth="1"/>
    <col min="577" max="577" width="27" bestFit="1" customWidth="1"/>
    <col min="578" max="578" width="28.33203125" bestFit="1" customWidth="1"/>
    <col min="579" max="579" width="29.1640625" bestFit="1" customWidth="1"/>
    <col min="580" max="580" width="23.83203125" bestFit="1" customWidth="1"/>
    <col min="581" max="581" width="12.33203125" bestFit="1" customWidth="1"/>
    <col min="582" max="582" width="24.6640625" bestFit="1" customWidth="1"/>
    <col min="583" max="583" width="21.83203125" bestFit="1" customWidth="1"/>
    <col min="584" max="584" width="19.33203125" bestFit="1" customWidth="1"/>
    <col min="585" max="585" width="20.5" bestFit="1" customWidth="1"/>
    <col min="586" max="586" width="29.33203125" bestFit="1" customWidth="1"/>
    <col min="587" max="587" width="34.6640625" bestFit="1" customWidth="1"/>
    <col min="588" max="588" width="23.83203125" bestFit="1" customWidth="1"/>
    <col min="589" max="589" width="19.5" bestFit="1" customWidth="1"/>
    <col min="590" max="590" width="23" bestFit="1" customWidth="1"/>
    <col min="591" max="591" width="33.5" bestFit="1" customWidth="1"/>
    <col min="592" max="592" width="30.83203125" bestFit="1" customWidth="1"/>
    <col min="593" max="593" width="21" bestFit="1" customWidth="1"/>
    <col min="594" max="594" width="21.5" bestFit="1" customWidth="1"/>
    <col min="595" max="595" width="13.33203125" bestFit="1" customWidth="1"/>
    <col min="596" max="596" width="23.6640625" bestFit="1" customWidth="1"/>
    <col min="597" max="597" width="22.83203125" bestFit="1" customWidth="1"/>
    <col min="598" max="598" width="25.1640625" bestFit="1" customWidth="1"/>
    <col min="599" max="599" width="29.83203125" bestFit="1" customWidth="1"/>
    <col min="600" max="600" width="25.83203125" bestFit="1" customWidth="1"/>
    <col min="601" max="601" width="27.5" bestFit="1" customWidth="1"/>
    <col min="602" max="602" width="20" bestFit="1" customWidth="1"/>
    <col min="603" max="603" width="30.5" bestFit="1" customWidth="1"/>
    <col min="604" max="604" width="23.1640625" bestFit="1" customWidth="1"/>
    <col min="605" max="605" width="27.1640625" bestFit="1" customWidth="1"/>
    <col min="606" max="606" width="27" bestFit="1" customWidth="1"/>
    <col min="607" max="607" width="34" bestFit="1" customWidth="1"/>
    <col min="608" max="608" width="27.33203125" bestFit="1" customWidth="1"/>
    <col min="609" max="609" width="20.83203125" bestFit="1" customWidth="1"/>
    <col min="610" max="610" width="26.1640625" bestFit="1" customWidth="1"/>
    <col min="611" max="611" width="19.1640625" bestFit="1" customWidth="1"/>
    <col min="612" max="612" width="19.6640625" bestFit="1" customWidth="1"/>
    <col min="613" max="613" width="22.6640625" bestFit="1" customWidth="1"/>
    <col min="614" max="614" width="18.5" bestFit="1" customWidth="1"/>
    <col min="615" max="615" width="18.6640625" bestFit="1" customWidth="1"/>
    <col min="616" max="616" width="37.5" bestFit="1" customWidth="1"/>
    <col min="617" max="617" width="19.1640625" bestFit="1" customWidth="1"/>
    <col min="618" max="618" width="19" bestFit="1" customWidth="1"/>
    <col min="619" max="619" width="23.1640625" bestFit="1" customWidth="1"/>
    <col min="620" max="620" width="26.1640625" bestFit="1" customWidth="1"/>
    <col min="621" max="621" width="19.6640625" bestFit="1" customWidth="1"/>
    <col min="622" max="622" width="22.33203125" bestFit="1" customWidth="1"/>
    <col min="623" max="623" width="23.1640625" bestFit="1" customWidth="1"/>
    <col min="624" max="624" width="21.83203125" bestFit="1" customWidth="1"/>
    <col min="625" max="625" width="23.6640625" bestFit="1" customWidth="1"/>
    <col min="626" max="626" width="22.33203125" bestFit="1" customWidth="1"/>
    <col min="627" max="627" width="13.5" bestFit="1" customWidth="1"/>
    <col min="628" max="628" width="19.5" bestFit="1" customWidth="1"/>
    <col min="629" max="629" width="29.1640625" bestFit="1" customWidth="1"/>
    <col min="630" max="630" width="19.5" bestFit="1" customWidth="1"/>
    <col min="631" max="631" width="31" bestFit="1" customWidth="1"/>
    <col min="632" max="632" width="39.1640625" bestFit="1" customWidth="1"/>
    <col min="633" max="633" width="28.1640625" bestFit="1" customWidth="1"/>
    <col min="634" max="634" width="38.1640625" bestFit="1" customWidth="1"/>
    <col min="635" max="635" width="12.1640625" bestFit="1" customWidth="1"/>
    <col min="636" max="636" width="20.83203125" bestFit="1" customWidth="1"/>
    <col min="637" max="637" width="38.83203125" bestFit="1" customWidth="1"/>
    <col min="638" max="638" width="32" bestFit="1" customWidth="1"/>
    <col min="639" max="639" width="32.5" bestFit="1" customWidth="1"/>
    <col min="640" max="640" width="27.83203125" bestFit="1" customWidth="1"/>
    <col min="641" max="641" width="33.1640625" bestFit="1" customWidth="1"/>
    <col min="642" max="642" width="24.1640625" bestFit="1" customWidth="1"/>
    <col min="643" max="643" width="12.5" bestFit="1" customWidth="1"/>
    <col min="644" max="644" width="12.33203125" bestFit="1" customWidth="1"/>
    <col min="645" max="645" width="19.1640625" bestFit="1" customWidth="1"/>
    <col min="646" max="646" width="17.5" bestFit="1" customWidth="1"/>
    <col min="647" max="647" width="22.33203125" bestFit="1" customWidth="1"/>
    <col min="648" max="648" width="38.6640625" bestFit="1" customWidth="1"/>
    <col min="649" max="649" width="22.5" bestFit="1" customWidth="1"/>
    <col min="650" max="650" width="20.33203125" bestFit="1" customWidth="1"/>
    <col min="651" max="651" width="12.1640625" bestFit="1" customWidth="1"/>
    <col min="652" max="652" width="19.33203125" bestFit="1" customWidth="1"/>
    <col min="653" max="653" width="25" bestFit="1" customWidth="1"/>
    <col min="654" max="654" width="24.6640625" bestFit="1" customWidth="1"/>
    <col min="655" max="655" width="22.33203125" bestFit="1" customWidth="1"/>
    <col min="656" max="656" width="30.6640625" bestFit="1" customWidth="1"/>
  </cols>
  <sheetData>
    <row r="1" spans="1:6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</row>
    <row r="2" spans="1:656" x14ac:dyDescent="0.2">
      <c r="A2" t="s">
        <v>656</v>
      </c>
      <c r="B2" t="s">
        <v>657</v>
      </c>
      <c r="C2" t="s">
        <v>658</v>
      </c>
      <c r="D2" t="s">
        <v>659</v>
      </c>
      <c r="E2" t="s">
        <v>660</v>
      </c>
      <c r="F2">
        <v>11</v>
      </c>
      <c r="G2">
        <v>0.5</v>
      </c>
      <c r="H2">
        <v>0.60909090909090902</v>
      </c>
      <c r="I2">
        <v>0.7</v>
      </c>
      <c r="J2">
        <v>0.61818181818181805</v>
      </c>
      <c r="K2">
        <v>0.49090909090909002</v>
      </c>
      <c r="L2">
        <v>0.56363636363636305</v>
      </c>
      <c r="M2">
        <v>0.736363636363636</v>
      </c>
      <c r="N2">
        <v>0.7</v>
      </c>
      <c r="O2">
        <v>0.41818181818181799</v>
      </c>
      <c r="P2">
        <v>0.79090909090909001</v>
      </c>
      <c r="Q2">
        <v>0.96363636363636296</v>
      </c>
      <c r="R2">
        <v>0.89090909090909098</v>
      </c>
      <c r="S2">
        <v>0.28181818181818102</v>
      </c>
      <c r="T2">
        <v>0.381818181818181</v>
      </c>
      <c r="U2">
        <v>0.98181818181818103</v>
      </c>
      <c r="V2">
        <v>0.9</v>
      </c>
      <c r="W2">
        <v>0.30445454545454498</v>
      </c>
      <c r="X2">
        <v>0.786909090909091</v>
      </c>
      <c r="Y2">
        <v>0.33466401061362999</v>
      </c>
      <c r="Z2">
        <v>0.19725387425622501</v>
      </c>
      <c r="AA2">
        <v>0.17320508075688701</v>
      </c>
      <c r="AB2">
        <v>0.17786613965666301</v>
      </c>
      <c r="AC2">
        <v>0.333030165163894</v>
      </c>
      <c r="AD2">
        <v>0.15666989036012799</v>
      </c>
      <c r="AE2">
        <v>0.18586407545691699</v>
      </c>
      <c r="AF2">
        <v>0.184390889145857</v>
      </c>
      <c r="AG2">
        <v>0.36281725928677</v>
      </c>
      <c r="AH2">
        <v>9.4387980744853897E-2</v>
      </c>
      <c r="AI2">
        <v>6.7419986246324198E-2</v>
      </c>
      <c r="AJ2">
        <v>0.104446593573418</v>
      </c>
      <c r="AK2">
        <v>0.19908883353006901</v>
      </c>
      <c r="AL2">
        <v>0.19908883353006901</v>
      </c>
      <c r="AM2">
        <v>4.04519917477945E-2</v>
      </c>
      <c r="AN2">
        <v>8.9442719099991602E-2</v>
      </c>
      <c r="AO2">
        <v>0.42109033796475598</v>
      </c>
      <c r="AP2">
        <v>0.13535985708137699</v>
      </c>
      <c r="AQ2">
        <v>0.74545454545454504</v>
      </c>
      <c r="AR2">
        <v>0.48181818181818098</v>
      </c>
      <c r="AS2">
        <v>0.5</v>
      </c>
      <c r="AT2">
        <v>0.79090909090909001</v>
      </c>
      <c r="AU2">
        <v>0.61818181818181805</v>
      </c>
      <c r="AV2">
        <v>0.80909090909090897</v>
      </c>
      <c r="AW2">
        <v>-1.5909090909090901E-2</v>
      </c>
      <c r="AX2">
        <v>0.42645454545454498</v>
      </c>
      <c r="AY2">
        <v>0.15075567228888101</v>
      </c>
      <c r="AZ2">
        <v>0.24826671874490799</v>
      </c>
      <c r="BA2">
        <v>0.26457513110645903</v>
      </c>
      <c r="BB2">
        <v>0.28444523358476298</v>
      </c>
      <c r="BC2">
        <v>0.30925129528647599</v>
      </c>
      <c r="BD2">
        <v>0.15782614139961301</v>
      </c>
      <c r="BE2">
        <v>0.25127015522956703</v>
      </c>
      <c r="BF2">
        <v>0.15943297252222499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2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5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2</v>
      </c>
      <c r="FY2">
        <v>0</v>
      </c>
      <c r="FZ2">
        <v>0</v>
      </c>
      <c r="GA2">
        <v>0</v>
      </c>
      <c r="GB2">
        <v>4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3</v>
      </c>
      <c r="HW2">
        <v>0</v>
      </c>
      <c r="HX2">
        <v>0</v>
      </c>
      <c r="HY2">
        <v>8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3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15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0</v>
      </c>
      <c r="JZ2">
        <v>0</v>
      </c>
      <c r="KA2">
        <v>3</v>
      </c>
      <c r="KB2">
        <v>0</v>
      </c>
      <c r="KC2">
        <v>0</v>
      </c>
      <c r="KD2">
        <v>0</v>
      </c>
      <c r="KE2">
        <v>0</v>
      </c>
      <c r="KF2">
        <v>0</v>
      </c>
      <c r="KG2">
        <v>10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2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0.18181818181818099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0.18181818181818099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0.18181818181818099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0.45454545454545398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0.18181818181818099</v>
      </c>
      <c r="RL2">
        <v>0</v>
      </c>
      <c r="RM2">
        <v>0</v>
      </c>
      <c r="RN2">
        <v>0</v>
      </c>
      <c r="RO2">
        <v>0.36363636363636298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9.0909090909090898E-2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9.0909090909090898E-2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0.27272727272727199</v>
      </c>
      <c r="TJ2">
        <v>0</v>
      </c>
      <c r="TK2">
        <v>0</v>
      </c>
      <c r="TL2">
        <v>0.72727272727272696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0.27272727272727199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1.36363636363636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9.0909090909090898E-2</v>
      </c>
      <c r="VI2">
        <v>0</v>
      </c>
      <c r="VJ2">
        <v>0</v>
      </c>
      <c r="VK2">
        <v>0</v>
      </c>
      <c r="VL2">
        <v>0</v>
      </c>
      <c r="VM2">
        <v>0</v>
      </c>
      <c r="VN2">
        <v>0.27272727272727199</v>
      </c>
      <c r="VO2">
        <v>0</v>
      </c>
      <c r="VP2">
        <v>0</v>
      </c>
      <c r="VQ2">
        <v>0</v>
      </c>
      <c r="VR2">
        <v>0</v>
      </c>
      <c r="VS2">
        <v>0</v>
      </c>
      <c r="VT2">
        <v>0.90909090909090895</v>
      </c>
      <c r="VU2">
        <v>9.0909090909090898E-2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0.18181818181818099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</row>
    <row r="3" spans="1:656" x14ac:dyDescent="0.2">
      <c r="A3" t="s">
        <v>661</v>
      </c>
      <c r="D3" t="s">
        <v>659</v>
      </c>
      <c r="E3" t="s">
        <v>660</v>
      </c>
      <c r="F3">
        <v>17</v>
      </c>
      <c r="G3">
        <v>0.9</v>
      </c>
      <c r="H3">
        <v>0.71764705882352897</v>
      </c>
      <c r="I3">
        <v>0.28823529411764698</v>
      </c>
      <c r="J3">
        <v>0.28235294117646997</v>
      </c>
      <c r="K3">
        <v>0.91176470588235203</v>
      </c>
      <c r="L3">
        <v>0.63529411764705801</v>
      </c>
      <c r="M3">
        <v>0.48823529411764699</v>
      </c>
      <c r="N3">
        <v>0.441176470588235</v>
      </c>
      <c r="O3">
        <v>0.85294117647058798</v>
      </c>
      <c r="P3">
        <v>0.67647058823529405</v>
      </c>
      <c r="Q3">
        <v>0.56470588235294095</v>
      </c>
      <c r="R3">
        <v>0.55294117647058805</v>
      </c>
      <c r="S3">
        <v>0.64705882352941102</v>
      </c>
      <c r="T3">
        <v>0.52352941176470502</v>
      </c>
      <c r="U3">
        <v>0.56470588235294095</v>
      </c>
      <c r="V3">
        <v>0.56470588235294095</v>
      </c>
      <c r="W3">
        <v>0.111470588235294</v>
      </c>
      <c r="X3">
        <v>0.72476470588235298</v>
      </c>
      <c r="Y3">
        <v>0</v>
      </c>
      <c r="Z3">
        <v>0.20382374161774799</v>
      </c>
      <c r="AA3">
        <v>0.208813172899773</v>
      </c>
      <c r="AB3">
        <v>0.19759584420492901</v>
      </c>
      <c r="AC3">
        <v>8.5749292571254396E-2</v>
      </c>
      <c r="AD3">
        <v>0.16934128435864401</v>
      </c>
      <c r="AE3">
        <v>0.38871961768924201</v>
      </c>
      <c r="AF3">
        <v>0.33922489503538</v>
      </c>
      <c r="AG3">
        <v>5.1449575542752597E-2</v>
      </c>
      <c r="AH3">
        <v>0.156242646885805</v>
      </c>
      <c r="AI3">
        <v>0.41973380920320802</v>
      </c>
      <c r="AJ3">
        <v>0.41850574526944001</v>
      </c>
      <c r="AK3">
        <v>0.29393376604862698</v>
      </c>
      <c r="AL3">
        <v>0.12004900959975601</v>
      </c>
      <c r="AM3">
        <v>0.42417740461773201</v>
      </c>
      <c r="AN3">
        <v>0.42417740461773201</v>
      </c>
      <c r="AO3">
        <v>0.60235953939975195</v>
      </c>
      <c r="AP3">
        <v>0.193886413078561</v>
      </c>
      <c r="AQ3">
        <v>0.85294117647058798</v>
      </c>
      <c r="AR3">
        <v>0.13529411764705801</v>
      </c>
      <c r="AS3">
        <v>0.78235294117647003</v>
      </c>
      <c r="AT3">
        <v>0.32352941176470501</v>
      </c>
      <c r="AU3">
        <v>0.25882352941176401</v>
      </c>
      <c r="AV3">
        <v>0.85294117647058798</v>
      </c>
      <c r="AW3">
        <v>0.16929411764705801</v>
      </c>
      <c r="AX3">
        <v>0.54382352941176404</v>
      </c>
      <c r="AY3">
        <v>7.9981615534630193E-2</v>
      </c>
      <c r="AZ3">
        <v>6.0633906259083201E-2</v>
      </c>
      <c r="BA3">
        <v>7.2760687510899896E-2</v>
      </c>
      <c r="BB3">
        <v>0.14374200745044</v>
      </c>
      <c r="BC3">
        <v>0.212305274102563</v>
      </c>
      <c r="BD3">
        <v>0.184111539083049</v>
      </c>
      <c r="BE3">
        <v>9.1574262695559197E-2</v>
      </c>
      <c r="BF3">
        <v>5.7983009681843001E-2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3</v>
      </c>
      <c r="BS3">
        <v>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5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2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6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8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3</v>
      </c>
      <c r="GQ3">
        <v>0</v>
      </c>
      <c r="GR3">
        <v>8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7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28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3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0</v>
      </c>
      <c r="LS3">
        <v>0</v>
      </c>
      <c r="LT3">
        <v>0</v>
      </c>
      <c r="LU3">
        <v>0</v>
      </c>
      <c r="LV3">
        <v>2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2</v>
      </c>
      <c r="MK3">
        <v>0</v>
      </c>
      <c r="ML3">
        <v>8</v>
      </c>
      <c r="MM3">
        <v>0</v>
      </c>
      <c r="MN3">
        <v>0</v>
      </c>
      <c r="MO3">
        <v>0</v>
      </c>
      <c r="MP3">
        <v>0</v>
      </c>
      <c r="MQ3">
        <v>1</v>
      </c>
      <c r="MR3">
        <v>5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0.17647058823529399</v>
      </c>
      <c r="NF3">
        <v>0.23529411764705799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0.29411764705882298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5.8823529411764698E-2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5.8823529411764698E-2</v>
      </c>
      <c r="PT3">
        <v>0</v>
      </c>
      <c r="PU3">
        <v>0.11764705882352899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0.35294117647058798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0.47058823529411697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0.17647058823529399</v>
      </c>
      <c r="SD3">
        <v>0</v>
      </c>
      <c r="SE3">
        <v>0.47058823529411697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5.8823529411764698E-2</v>
      </c>
      <c r="TM3">
        <v>0.41176470588235198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5.8823529411764698E-2</v>
      </c>
      <c r="UA3">
        <v>1.6470588235294099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5.8823529411764698E-2</v>
      </c>
      <c r="VV3">
        <v>0</v>
      </c>
      <c r="VW3">
        <v>0</v>
      </c>
      <c r="VX3">
        <v>0.17647058823529399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5.8823529411764698E-2</v>
      </c>
      <c r="XD3">
        <v>0</v>
      </c>
      <c r="XE3">
        <v>0</v>
      </c>
      <c r="XF3">
        <v>0</v>
      </c>
      <c r="XG3">
        <v>0</v>
      </c>
      <c r="XH3">
        <v>0</v>
      </c>
      <c r="XI3">
        <v>0.11764705882352899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0.11764705882352899</v>
      </c>
      <c r="XX3">
        <v>0</v>
      </c>
      <c r="XY3">
        <v>0.47058823529411697</v>
      </c>
      <c r="XZ3">
        <v>0</v>
      </c>
      <c r="YA3">
        <v>0</v>
      </c>
      <c r="YB3">
        <v>0</v>
      </c>
      <c r="YC3">
        <v>0</v>
      </c>
      <c r="YD3">
        <v>5.8823529411764698E-2</v>
      </c>
      <c r="YE3">
        <v>0.29411764705882298</v>
      </c>
      <c r="YF3">
        <v>0</v>
      </c>
    </row>
    <row r="4" spans="1:656" x14ac:dyDescent="0.2">
      <c r="A4" t="s">
        <v>662</v>
      </c>
      <c r="D4" t="s">
        <v>659</v>
      </c>
      <c r="E4" t="s">
        <v>660</v>
      </c>
      <c r="F4">
        <v>5</v>
      </c>
      <c r="G4">
        <v>0.8</v>
      </c>
      <c r="H4">
        <v>0.76</v>
      </c>
      <c r="I4">
        <v>0.26</v>
      </c>
      <c r="J4">
        <v>0.26</v>
      </c>
      <c r="K4">
        <v>0.84</v>
      </c>
      <c r="L4">
        <v>0.67999999999999905</v>
      </c>
      <c r="M4">
        <v>0.26</v>
      </c>
      <c r="N4">
        <v>0.27999999999999903</v>
      </c>
      <c r="O4">
        <v>0.78</v>
      </c>
      <c r="P4">
        <v>0.82</v>
      </c>
      <c r="Q4">
        <v>0.32</v>
      </c>
      <c r="R4">
        <v>0.28000000000000003</v>
      </c>
      <c r="S4">
        <v>0.82</v>
      </c>
      <c r="T4">
        <v>0.65999999999999903</v>
      </c>
      <c r="U4">
        <v>0.36</v>
      </c>
      <c r="V4">
        <v>0.3</v>
      </c>
      <c r="W4">
        <v>-8.4400000000000003E-2</v>
      </c>
      <c r="X4">
        <v>0.66180000000000005</v>
      </c>
      <c r="Y4">
        <v>0.22360679774997799</v>
      </c>
      <c r="Z4">
        <v>0.15165750888103099</v>
      </c>
      <c r="AA4">
        <v>0.23021728866442601</v>
      </c>
      <c r="AB4">
        <v>0.26076809620810498</v>
      </c>
      <c r="AC4">
        <v>0.25099800796022198</v>
      </c>
      <c r="AD4">
        <v>0.109544511501033</v>
      </c>
      <c r="AE4">
        <v>0.21908902300206601</v>
      </c>
      <c r="AF4">
        <v>0.268328157299974</v>
      </c>
      <c r="AG4">
        <v>0.268328157299974</v>
      </c>
      <c r="AH4">
        <v>4.4721359549995697E-2</v>
      </c>
      <c r="AI4">
        <v>0.34928498393145901</v>
      </c>
      <c r="AJ4">
        <v>0.30331501776206199</v>
      </c>
      <c r="AK4">
        <v>0.29495762407505199</v>
      </c>
      <c r="AL4">
        <v>0.15165750888103</v>
      </c>
      <c r="AM4">
        <v>0.397492138287035</v>
      </c>
      <c r="AN4">
        <v>0.30822070014844799</v>
      </c>
      <c r="AO4">
        <v>0.230881571373723</v>
      </c>
      <c r="AP4">
        <v>7.43585906267729E-2</v>
      </c>
      <c r="AQ4">
        <v>0.82</v>
      </c>
      <c r="AR4">
        <v>0.26</v>
      </c>
      <c r="AS4">
        <v>0.67999999999999905</v>
      </c>
      <c r="AT4">
        <v>0.33999999999999903</v>
      </c>
      <c r="AU4">
        <v>0.52</v>
      </c>
      <c r="AV4">
        <v>0.65999999999999903</v>
      </c>
      <c r="AW4">
        <v>0.2576</v>
      </c>
      <c r="AX4">
        <v>0.6</v>
      </c>
      <c r="AY4">
        <v>0.13038404810405299</v>
      </c>
      <c r="AZ4">
        <v>0.23021728866442601</v>
      </c>
      <c r="BA4">
        <v>0.27748873851023198</v>
      </c>
      <c r="BB4">
        <v>0.37815340802378</v>
      </c>
      <c r="BC4">
        <v>0.34928498393145901</v>
      </c>
      <c r="BD4">
        <v>0.288097205817758</v>
      </c>
      <c r="BE4">
        <v>0.244766827817823</v>
      </c>
      <c r="BF4">
        <v>0.15517409577632399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3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3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2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0.6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0.4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0.6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0.2</v>
      </c>
      <c r="VF4">
        <v>0.2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0.4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</row>
    <row r="5" spans="1:656" x14ac:dyDescent="0.2">
      <c r="A5" t="s">
        <v>663</v>
      </c>
      <c r="D5" t="s">
        <v>664</v>
      </c>
      <c r="E5" t="s">
        <v>660</v>
      </c>
      <c r="F5">
        <v>1</v>
      </c>
      <c r="G5">
        <v>0.1</v>
      </c>
      <c r="H5">
        <v>0.1</v>
      </c>
      <c r="I5">
        <v>0.9</v>
      </c>
      <c r="J5">
        <v>0</v>
      </c>
      <c r="K5">
        <v>0.1</v>
      </c>
      <c r="L5">
        <v>0.1</v>
      </c>
      <c r="M5">
        <v>0.9</v>
      </c>
      <c r="N5">
        <v>0</v>
      </c>
      <c r="O5">
        <v>0.1</v>
      </c>
      <c r="P5">
        <v>0.1</v>
      </c>
      <c r="Q5">
        <v>1</v>
      </c>
      <c r="R5">
        <v>0</v>
      </c>
      <c r="S5">
        <v>0.1</v>
      </c>
      <c r="T5">
        <v>0.1</v>
      </c>
      <c r="U5">
        <v>1</v>
      </c>
      <c r="V5">
        <v>0</v>
      </c>
      <c r="W5">
        <v>-1.2310000000000001</v>
      </c>
      <c r="X5">
        <v>0.29299999999999998</v>
      </c>
      <c r="AQ5">
        <v>0.1</v>
      </c>
      <c r="AR5">
        <v>1</v>
      </c>
      <c r="AS5">
        <v>0.1</v>
      </c>
      <c r="AT5">
        <v>1</v>
      </c>
      <c r="AU5">
        <v>0</v>
      </c>
      <c r="AV5">
        <v>0.5</v>
      </c>
      <c r="AW5">
        <v>-0.625</v>
      </c>
      <c r="AX5">
        <v>0.04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</row>
    <row r="6" spans="1:656" x14ac:dyDescent="0.2">
      <c r="A6" t="s">
        <v>665</v>
      </c>
      <c r="B6" t="s">
        <v>666</v>
      </c>
      <c r="C6" t="s">
        <v>667</v>
      </c>
      <c r="D6" t="s">
        <v>668</v>
      </c>
      <c r="E6" t="s">
        <v>660</v>
      </c>
      <c r="F6">
        <v>4</v>
      </c>
      <c r="G6">
        <v>0.32500000000000001</v>
      </c>
      <c r="H6">
        <v>0.22500000000000001</v>
      </c>
      <c r="I6">
        <v>0.875</v>
      </c>
      <c r="J6">
        <v>0.125</v>
      </c>
      <c r="K6">
        <v>0.22500000000000001</v>
      </c>
      <c r="L6">
        <v>0.125</v>
      </c>
      <c r="M6">
        <v>0.97499999999999998</v>
      </c>
      <c r="N6">
        <v>0.125</v>
      </c>
      <c r="O6">
        <v>0.32500000000000001</v>
      </c>
      <c r="P6">
        <v>0.22500000000000001</v>
      </c>
      <c r="Q6">
        <v>0.97499999999999998</v>
      </c>
      <c r="R6">
        <v>0.125</v>
      </c>
      <c r="S6">
        <v>0.22500000000000001</v>
      </c>
      <c r="T6">
        <v>0.125</v>
      </c>
      <c r="U6">
        <v>0.97499999999999998</v>
      </c>
      <c r="V6">
        <v>0.125</v>
      </c>
      <c r="W6">
        <v>-0.88900000000000001</v>
      </c>
      <c r="X6">
        <v>0.40325</v>
      </c>
      <c r="Y6">
        <v>4.9999999999999899E-2</v>
      </c>
      <c r="Z6">
        <v>4.9999999999999899E-2</v>
      </c>
      <c r="AA6">
        <v>4.9999999999999899E-2</v>
      </c>
      <c r="AB6">
        <v>0.05</v>
      </c>
      <c r="AC6">
        <v>4.9999999999999899E-2</v>
      </c>
      <c r="AD6">
        <v>0.05</v>
      </c>
      <c r="AE6">
        <v>0.05</v>
      </c>
      <c r="AF6">
        <v>0.05</v>
      </c>
      <c r="AG6">
        <v>4.9999999999999899E-2</v>
      </c>
      <c r="AH6">
        <v>4.9999999999999899E-2</v>
      </c>
      <c r="AI6">
        <v>0.05</v>
      </c>
      <c r="AJ6">
        <v>0.05</v>
      </c>
      <c r="AK6">
        <v>4.9999999999999899E-2</v>
      </c>
      <c r="AL6">
        <v>0.05</v>
      </c>
      <c r="AM6">
        <v>0.05</v>
      </c>
      <c r="AN6">
        <v>0.05</v>
      </c>
      <c r="AO6">
        <v>0.113999999999999</v>
      </c>
      <c r="AP6">
        <v>3.6499999999999901E-2</v>
      </c>
      <c r="AQ6">
        <v>0.2</v>
      </c>
      <c r="AR6">
        <v>0.9</v>
      </c>
      <c r="AS6">
        <v>0.32500000000000001</v>
      </c>
      <c r="AT6">
        <v>0.97499999999999998</v>
      </c>
      <c r="AU6">
        <v>0.1</v>
      </c>
      <c r="AV6">
        <v>0.82499999999999996</v>
      </c>
      <c r="AW6">
        <v>-0.56874999999999998</v>
      </c>
      <c r="AX6">
        <v>7.4999999999999997E-2</v>
      </c>
      <c r="AY6">
        <v>0</v>
      </c>
      <c r="AZ6">
        <v>0</v>
      </c>
      <c r="BA6">
        <v>4.9999999999999899E-2</v>
      </c>
      <c r="BB6">
        <v>0.05</v>
      </c>
      <c r="BC6">
        <v>0</v>
      </c>
      <c r="BD6">
        <v>0.05</v>
      </c>
      <c r="BE6">
        <v>1.24999999999999E-2</v>
      </c>
      <c r="BF6">
        <v>7.9999999999999898E-3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5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2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5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2</v>
      </c>
      <c r="IG6">
        <v>0</v>
      </c>
      <c r="IH6">
        <v>0</v>
      </c>
      <c r="II6">
        <v>0</v>
      </c>
      <c r="IJ6">
        <v>4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3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1.25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0.5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1.25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0.5</v>
      </c>
      <c r="TT6">
        <v>0</v>
      </c>
      <c r="TU6">
        <v>0</v>
      </c>
      <c r="TV6">
        <v>0</v>
      </c>
      <c r="TW6">
        <v>1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0.75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</row>
    <row r="7" spans="1:656" x14ac:dyDescent="0.2">
      <c r="A7" t="s">
        <v>669</v>
      </c>
      <c r="B7" t="s">
        <v>670</v>
      </c>
      <c r="C7" t="s">
        <v>671</v>
      </c>
      <c r="D7" t="s">
        <v>659</v>
      </c>
      <c r="E7" t="s">
        <v>660</v>
      </c>
      <c r="F7">
        <v>3</v>
      </c>
      <c r="G7">
        <v>0.86666666666666603</v>
      </c>
      <c r="H7">
        <v>0.76666666666666605</v>
      </c>
      <c r="I7">
        <v>0.266666666666666</v>
      </c>
      <c r="J7">
        <v>0.266666666666666</v>
      </c>
      <c r="K7">
        <v>0.9</v>
      </c>
      <c r="L7">
        <v>0.56666666666666599</v>
      </c>
      <c r="M7">
        <v>0.63333333333333297</v>
      </c>
      <c r="N7">
        <v>0.56666666666666599</v>
      </c>
      <c r="O7">
        <v>0.66666666666666596</v>
      </c>
      <c r="P7">
        <v>0.73333333333333295</v>
      </c>
      <c r="Q7">
        <v>0.96666666666666601</v>
      </c>
      <c r="R7">
        <v>0.9</v>
      </c>
      <c r="S7">
        <v>0.233333333333333</v>
      </c>
      <c r="T7">
        <v>0.33333333333333298</v>
      </c>
      <c r="U7">
        <v>1</v>
      </c>
      <c r="V7">
        <v>0.9</v>
      </c>
      <c r="W7">
        <v>0.309</v>
      </c>
      <c r="X7">
        <v>0.78799999999999903</v>
      </c>
      <c r="Y7">
        <v>5.7735026918962498E-2</v>
      </c>
      <c r="Z7">
        <v>5.7735026918962602E-2</v>
      </c>
      <c r="AA7">
        <v>5.7735026918962498E-2</v>
      </c>
      <c r="AB7">
        <v>5.7735026918962498E-2</v>
      </c>
      <c r="AC7">
        <v>0</v>
      </c>
      <c r="AD7">
        <v>0.23094010767584999</v>
      </c>
      <c r="AE7">
        <v>0.46188021535169999</v>
      </c>
      <c r="AF7">
        <v>0.404145188432738</v>
      </c>
      <c r="AG7">
        <v>0.23094010767584999</v>
      </c>
      <c r="AH7">
        <v>5.7735026918962602E-2</v>
      </c>
      <c r="AI7">
        <v>5.7735026918962498E-2</v>
      </c>
      <c r="AJ7">
        <v>0.17320508075688701</v>
      </c>
      <c r="AK7">
        <v>0.115470053837925</v>
      </c>
      <c r="AL7">
        <v>0.115470053837925</v>
      </c>
      <c r="AM7">
        <v>0</v>
      </c>
      <c r="AN7">
        <v>0.17320508075688701</v>
      </c>
      <c r="AO7">
        <v>0.45899346400575203</v>
      </c>
      <c r="AP7">
        <v>0.147224318643354</v>
      </c>
      <c r="AQ7">
        <v>0.7</v>
      </c>
      <c r="AR7">
        <v>0.266666666666666</v>
      </c>
      <c r="AS7">
        <v>0.6</v>
      </c>
      <c r="AT7">
        <v>0.7</v>
      </c>
      <c r="AU7">
        <v>0.46666666666666601</v>
      </c>
      <c r="AV7">
        <v>0.86666666666666603</v>
      </c>
      <c r="AW7">
        <v>7.9999999999999898E-3</v>
      </c>
      <c r="AX7">
        <v>0.442</v>
      </c>
      <c r="AY7">
        <v>0.1</v>
      </c>
      <c r="AZ7">
        <v>5.7735026918962498E-2</v>
      </c>
      <c r="BA7">
        <v>0.34641016151377502</v>
      </c>
      <c r="BB7">
        <v>0.17320508075688701</v>
      </c>
      <c r="BC7">
        <v>0.25166114784235799</v>
      </c>
      <c r="BD7">
        <v>5.7735026918962498E-2</v>
      </c>
      <c r="BE7">
        <v>0.132751647824047</v>
      </c>
      <c r="BF7">
        <v>8.4255563614517401E-2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3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0.33333333333333298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1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0.33333333333333298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0.66666666666666596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0.33333333333333298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</row>
    <row r="8" spans="1:656" x14ac:dyDescent="0.2">
      <c r="A8" t="s">
        <v>672</v>
      </c>
      <c r="B8" t="s">
        <v>673</v>
      </c>
      <c r="D8" t="s">
        <v>674</v>
      </c>
      <c r="E8" t="s">
        <v>660</v>
      </c>
      <c r="F8">
        <v>4</v>
      </c>
      <c r="G8">
        <v>0.67500000000000004</v>
      </c>
      <c r="H8">
        <v>0.6</v>
      </c>
      <c r="I8">
        <v>7.4999999999999997E-2</v>
      </c>
      <c r="J8">
        <v>7.4999999999999997E-2</v>
      </c>
      <c r="K8">
        <v>0.67500000000000004</v>
      </c>
      <c r="L8">
        <v>0.52499999999999902</v>
      </c>
      <c r="M8">
        <v>7.4999999999999997E-2</v>
      </c>
      <c r="N8">
        <v>7.4999999999999997E-2</v>
      </c>
      <c r="O8">
        <v>0.67500000000000004</v>
      </c>
      <c r="P8">
        <v>0.6</v>
      </c>
      <c r="Q8">
        <v>7.4999999999999997E-2</v>
      </c>
      <c r="R8">
        <v>7.4999999999999997E-2</v>
      </c>
      <c r="S8">
        <v>0.67500000000000004</v>
      </c>
      <c r="T8">
        <v>0.52499999999999902</v>
      </c>
      <c r="U8">
        <v>7.4999999999999997E-2</v>
      </c>
      <c r="V8">
        <v>7.4999999999999997E-2</v>
      </c>
      <c r="W8">
        <v>-0.77300000000000002</v>
      </c>
      <c r="X8">
        <v>0.44024999999999997</v>
      </c>
      <c r="Y8">
        <v>0.45</v>
      </c>
      <c r="Z8">
        <v>0.4</v>
      </c>
      <c r="AA8">
        <v>0.05</v>
      </c>
      <c r="AB8">
        <v>0.05</v>
      </c>
      <c r="AC8">
        <v>0.45</v>
      </c>
      <c r="AD8">
        <v>0.35</v>
      </c>
      <c r="AE8">
        <v>0.05</v>
      </c>
      <c r="AF8">
        <v>0.05</v>
      </c>
      <c r="AG8">
        <v>0.45</v>
      </c>
      <c r="AH8">
        <v>0.4</v>
      </c>
      <c r="AI8">
        <v>0.05</v>
      </c>
      <c r="AJ8">
        <v>0.05</v>
      </c>
      <c r="AK8">
        <v>0.45</v>
      </c>
      <c r="AL8">
        <v>0.35</v>
      </c>
      <c r="AM8">
        <v>0.05</v>
      </c>
      <c r="AN8">
        <v>0.05</v>
      </c>
      <c r="AO8">
        <v>0.91199999999999903</v>
      </c>
      <c r="AP8">
        <v>0.29349999999999998</v>
      </c>
      <c r="AQ8">
        <v>0.67500000000000004</v>
      </c>
      <c r="AR8">
        <v>7.4999999999999997E-2</v>
      </c>
      <c r="AS8">
        <v>0.6</v>
      </c>
      <c r="AT8">
        <v>7.4999999999999997E-2</v>
      </c>
      <c r="AU8">
        <v>0.52499999999999902</v>
      </c>
      <c r="AV8">
        <v>0.22499999999999901</v>
      </c>
      <c r="AW8">
        <v>0.46875</v>
      </c>
      <c r="AX8">
        <v>0.73399999999999999</v>
      </c>
      <c r="AY8">
        <v>0.45</v>
      </c>
      <c r="AZ8">
        <v>0.05</v>
      </c>
      <c r="BA8">
        <v>0.4</v>
      </c>
      <c r="BB8">
        <v>0.05</v>
      </c>
      <c r="BC8">
        <v>0.35</v>
      </c>
      <c r="BD8">
        <v>0.15</v>
      </c>
      <c r="BE8">
        <v>0.3125</v>
      </c>
      <c r="BF8">
        <v>0.19799999999999901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2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1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0.5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0.5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0.25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0.25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</row>
    <row r="9" spans="1:656" x14ac:dyDescent="0.2">
      <c r="A9" t="s">
        <v>675</v>
      </c>
      <c r="D9" t="s">
        <v>664</v>
      </c>
      <c r="E9" t="s">
        <v>660</v>
      </c>
      <c r="F9">
        <v>1</v>
      </c>
      <c r="G9">
        <v>0.9</v>
      </c>
      <c r="H9">
        <v>0.8</v>
      </c>
      <c r="I9">
        <v>0.1</v>
      </c>
      <c r="J9">
        <v>0.1</v>
      </c>
      <c r="K9">
        <v>1</v>
      </c>
      <c r="L9">
        <v>0.7</v>
      </c>
      <c r="M9">
        <v>0.1</v>
      </c>
      <c r="N9">
        <v>0.1</v>
      </c>
      <c r="O9">
        <v>0.9</v>
      </c>
      <c r="P9">
        <v>0.8</v>
      </c>
      <c r="Q9">
        <v>0.1</v>
      </c>
      <c r="R9">
        <v>0.1</v>
      </c>
      <c r="S9">
        <v>1</v>
      </c>
      <c r="T9">
        <v>0.7</v>
      </c>
      <c r="U9">
        <v>0.1</v>
      </c>
      <c r="V9">
        <v>0.1</v>
      </c>
      <c r="W9">
        <v>-0.27200000000000002</v>
      </c>
      <c r="X9">
        <v>0.60099999999999998</v>
      </c>
      <c r="AQ9">
        <v>0.8</v>
      </c>
      <c r="AR9">
        <v>0.2</v>
      </c>
      <c r="AS9">
        <v>0.7</v>
      </c>
      <c r="AT9">
        <v>0.3</v>
      </c>
      <c r="AU9">
        <v>0.1</v>
      </c>
      <c r="AV9">
        <v>0.9</v>
      </c>
      <c r="AW9">
        <v>3.7999999999999999E-2</v>
      </c>
      <c r="AX9">
        <v>0.46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1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</row>
    <row r="10" spans="1:656" x14ac:dyDescent="0.2">
      <c r="A10" t="s">
        <v>676</v>
      </c>
      <c r="B10" t="s">
        <v>677</v>
      </c>
      <c r="C10" t="s">
        <v>678</v>
      </c>
      <c r="D10" t="s">
        <v>674</v>
      </c>
      <c r="E10" t="s">
        <v>660</v>
      </c>
      <c r="F10">
        <v>5</v>
      </c>
      <c r="G10">
        <v>0.9</v>
      </c>
      <c r="H10">
        <v>0.76</v>
      </c>
      <c r="I10">
        <v>0.4</v>
      </c>
      <c r="J10">
        <v>0.4</v>
      </c>
      <c r="K10">
        <v>0.94</v>
      </c>
      <c r="L10">
        <v>0.67999999999999905</v>
      </c>
      <c r="M10">
        <v>0.57999999999999996</v>
      </c>
      <c r="N10">
        <v>0.52</v>
      </c>
      <c r="O10">
        <v>0.88</v>
      </c>
      <c r="P10">
        <v>0.68</v>
      </c>
      <c r="Q10">
        <v>0.64</v>
      </c>
      <c r="R10">
        <v>0.64</v>
      </c>
      <c r="S10">
        <v>0.67999999999999905</v>
      </c>
      <c r="T10">
        <v>0.55999999999999905</v>
      </c>
      <c r="U10">
        <v>0.64</v>
      </c>
      <c r="V10">
        <v>0.64</v>
      </c>
      <c r="W10">
        <v>0.313999999999999</v>
      </c>
      <c r="X10">
        <v>0.79</v>
      </c>
      <c r="Y10">
        <v>0</v>
      </c>
      <c r="Z10">
        <v>0.207364413533277</v>
      </c>
      <c r="AA10">
        <v>0.3</v>
      </c>
      <c r="AB10">
        <v>0.3</v>
      </c>
      <c r="AC10">
        <v>8.9442719099991505E-2</v>
      </c>
      <c r="AD10">
        <v>0.16431676725154901</v>
      </c>
      <c r="AE10">
        <v>0.43817804600413202</v>
      </c>
      <c r="AF10">
        <v>0.38340579025361599</v>
      </c>
      <c r="AG10">
        <v>4.4721359549995697E-2</v>
      </c>
      <c r="AH10">
        <v>0.216794833886788</v>
      </c>
      <c r="AI10">
        <v>0.49295030175464899</v>
      </c>
      <c r="AJ10">
        <v>0.49295030175464899</v>
      </c>
      <c r="AK10">
        <v>0.29495762407505199</v>
      </c>
      <c r="AL10">
        <v>0.114017542509913</v>
      </c>
      <c r="AM10">
        <v>0.49295030175464899</v>
      </c>
      <c r="AN10">
        <v>0.49295030175464899</v>
      </c>
      <c r="AO10">
        <v>0.77821558709653205</v>
      </c>
      <c r="AP10">
        <v>0.250308809273665</v>
      </c>
      <c r="AQ10">
        <v>0.94</v>
      </c>
      <c r="AR10">
        <v>0.06</v>
      </c>
      <c r="AS10">
        <v>0.86</v>
      </c>
      <c r="AT10">
        <v>0.3</v>
      </c>
      <c r="AU10">
        <v>0.16</v>
      </c>
      <c r="AV10">
        <v>0.82</v>
      </c>
      <c r="AW10">
        <v>0.22020000000000001</v>
      </c>
      <c r="AX10">
        <v>0.57599999999999996</v>
      </c>
      <c r="AY10">
        <v>5.4772255750516502E-2</v>
      </c>
      <c r="AZ10">
        <v>5.4772255750516599E-2</v>
      </c>
      <c r="BA10">
        <v>5.4772255750516502E-2</v>
      </c>
      <c r="BB10">
        <v>0.122474487139158</v>
      </c>
      <c r="BC10">
        <v>5.4772255750516599E-2</v>
      </c>
      <c r="BD10">
        <v>0.34928498393145901</v>
      </c>
      <c r="BE10">
        <v>0.14046601012344501</v>
      </c>
      <c r="BF10">
        <v>8.9115094119907604E-2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3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3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8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0.6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0.6</v>
      </c>
      <c r="RM10">
        <v>0.2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0.2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0.2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0.2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0.2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1.6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0.2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0.2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</row>
    <row r="11" spans="1:656" x14ac:dyDescent="0.2">
      <c r="A11" t="s">
        <v>679</v>
      </c>
      <c r="B11" t="s">
        <v>680</v>
      </c>
      <c r="C11" t="s">
        <v>667</v>
      </c>
      <c r="D11" t="s">
        <v>659</v>
      </c>
      <c r="E11" t="s">
        <v>660</v>
      </c>
      <c r="F11">
        <v>2</v>
      </c>
      <c r="G11">
        <v>0.9</v>
      </c>
      <c r="H11">
        <v>0.85</v>
      </c>
      <c r="I11">
        <v>0.35</v>
      </c>
      <c r="J11">
        <v>0.35</v>
      </c>
      <c r="K11">
        <v>1</v>
      </c>
      <c r="L11">
        <v>0.75</v>
      </c>
      <c r="M11">
        <v>0.5</v>
      </c>
      <c r="N11">
        <v>0.45</v>
      </c>
      <c r="O11">
        <v>0.9</v>
      </c>
      <c r="P11">
        <v>0.8</v>
      </c>
      <c r="Q11">
        <v>0.55000000000000004</v>
      </c>
      <c r="R11">
        <v>0.55000000000000004</v>
      </c>
      <c r="S11">
        <v>0.75</v>
      </c>
      <c r="T11">
        <v>0.64999999999999902</v>
      </c>
      <c r="U11">
        <v>0.55000000000000004</v>
      </c>
      <c r="V11">
        <v>0.55000000000000004</v>
      </c>
      <c r="W11">
        <v>0.32900000000000001</v>
      </c>
      <c r="X11">
        <v>0.79449999999999998</v>
      </c>
      <c r="Y11">
        <v>0</v>
      </c>
      <c r="Z11">
        <v>7.0710678118654696E-2</v>
      </c>
      <c r="AA11">
        <v>0.35355339059327301</v>
      </c>
      <c r="AB11">
        <v>0.35355339059327301</v>
      </c>
      <c r="AC11">
        <v>0</v>
      </c>
      <c r="AD11">
        <v>7.0710678118654793E-2</v>
      </c>
      <c r="AE11">
        <v>0.56568542494923801</v>
      </c>
      <c r="AF11">
        <v>0.49497474683058301</v>
      </c>
      <c r="AG11">
        <v>0</v>
      </c>
      <c r="AH11">
        <v>0</v>
      </c>
      <c r="AI11">
        <v>0.63639610306789196</v>
      </c>
      <c r="AJ11">
        <v>0.63639610306789196</v>
      </c>
      <c r="AK11">
        <v>0.35355339059327301</v>
      </c>
      <c r="AL11">
        <v>7.0710678118654696E-2</v>
      </c>
      <c r="AM11">
        <v>0.63639610306789196</v>
      </c>
      <c r="AN11">
        <v>0.63639610306789196</v>
      </c>
      <c r="AO11">
        <v>0.84994235098623006</v>
      </c>
      <c r="AP11">
        <v>0.27365032431919301</v>
      </c>
      <c r="AQ11">
        <v>0.9</v>
      </c>
      <c r="AR11">
        <v>0.1</v>
      </c>
      <c r="AS11">
        <v>0.8</v>
      </c>
      <c r="AT11">
        <v>0.3</v>
      </c>
      <c r="AU11">
        <v>0.1</v>
      </c>
      <c r="AV11">
        <v>0.95</v>
      </c>
      <c r="AW11">
        <v>0.1065</v>
      </c>
      <c r="AX11">
        <v>0.504</v>
      </c>
      <c r="AY11">
        <v>0</v>
      </c>
      <c r="AZ11">
        <v>0</v>
      </c>
      <c r="BA11">
        <v>0</v>
      </c>
      <c r="BB11">
        <v>0.141421356237309</v>
      </c>
      <c r="BC11">
        <v>0</v>
      </c>
      <c r="BD11">
        <v>7.0710678118654696E-2</v>
      </c>
      <c r="BE11">
        <v>6.1518289963229597E-2</v>
      </c>
      <c r="BF11">
        <v>3.9597979746446597E-2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1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0.5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</row>
    <row r="12" spans="1:656" x14ac:dyDescent="0.2">
      <c r="A12" t="s">
        <v>681</v>
      </c>
      <c r="B12" t="s">
        <v>682</v>
      </c>
      <c r="C12" t="s">
        <v>683</v>
      </c>
      <c r="D12" t="s">
        <v>684</v>
      </c>
      <c r="E12" t="s">
        <v>660</v>
      </c>
      <c r="F12">
        <v>2</v>
      </c>
      <c r="G12">
        <v>0.65</v>
      </c>
      <c r="H12">
        <v>0.6</v>
      </c>
      <c r="I12">
        <v>0.7</v>
      </c>
      <c r="J12">
        <v>0.4</v>
      </c>
      <c r="K12">
        <v>0.65</v>
      </c>
      <c r="L12">
        <v>0.5</v>
      </c>
      <c r="M12">
        <v>0.9</v>
      </c>
      <c r="N12">
        <v>0.5</v>
      </c>
      <c r="O12">
        <v>0.65</v>
      </c>
      <c r="P12">
        <v>0.55000000000000004</v>
      </c>
      <c r="Q12">
        <v>0.95</v>
      </c>
      <c r="R12">
        <v>0.6</v>
      </c>
      <c r="S12">
        <v>0.4</v>
      </c>
      <c r="T12">
        <v>0.4</v>
      </c>
      <c r="U12">
        <v>0.95</v>
      </c>
      <c r="V12">
        <v>0.6</v>
      </c>
      <c r="W12">
        <v>0.106</v>
      </c>
      <c r="X12">
        <v>0.72299999999999998</v>
      </c>
      <c r="Y12">
        <v>0.35355339059327301</v>
      </c>
      <c r="Z12">
        <v>0.42426406871192801</v>
      </c>
      <c r="AA12">
        <v>0.141421356237309</v>
      </c>
      <c r="AB12">
        <v>0.28284271247461901</v>
      </c>
      <c r="AC12">
        <v>0.49497474683058301</v>
      </c>
      <c r="AD12">
        <v>0.42426406871192801</v>
      </c>
      <c r="AE12">
        <v>0</v>
      </c>
      <c r="AF12">
        <v>0.42426406871192801</v>
      </c>
      <c r="AG12">
        <v>0.35355339059327301</v>
      </c>
      <c r="AH12">
        <v>0.35355339059327301</v>
      </c>
      <c r="AI12">
        <v>7.0710678118654696E-2</v>
      </c>
      <c r="AJ12">
        <v>0.56568542494923801</v>
      </c>
      <c r="AK12">
        <v>0.141421356237309</v>
      </c>
      <c r="AL12">
        <v>0.28284271247461901</v>
      </c>
      <c r="AM12">
        <v>7.0710678118654696E-2</v>
      </c>
      <c r="AN12">
        <v>0.56568542494923801</v>
      </c>
      <c r="AO12">
        <v>1.16531197539543</v>
      </c>
      <c r="AP12">
        <v>0.37476659402887003</v>
      </c>
      <c r="AQ12">
        <v>0.55000000000000004</v>
      </c>
      <c r="AR12">
        <v>0.5</v>
      </c>
      <c r="AS12">
        <v>0.5</v>
      </c>
      <c r="AT12">
        <v>0.7</v>
      </c>
      <c r="AU12">
        <v>0.1</v>
      </c>
      <c r="AV12">
        <v>1</v>
      </c>
      <c r="AW12">
        <v>-0.3125</v>
      </c>
      <c r="AX12">
        <v>0.23799999999999999</v>
      </c>
      <c r="AY12">
        <v>0.49497474683058301</v>
      </c>
      <c r="AZ12">
        <v>0.56568542494923801</v>
      </c>
      <c r="BA12">
        <v>0.42426406871192801</v>
      </c>
      <c r="BB12">
        <v>0.42426406871192801</v>
      </c>
      <c r="BC12">
        <v>0</v>
      </c>
      <c r="BD12">
        <v>0</v>
      </c>
      <c r="BE12">
        <v>0.53103719267109695</v>
      </c>
      <c r="BF12">
        <v>0.33658282784479598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1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3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0.5</v>
      </c>
      <c r="VQ12">
        <v>0.5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</row>
    <row r="13" spans="1:656" x14ac:dyDescent="0.2">
      <c r="A13" t="s">
        <v>685</v>
      </c>
      <c r="D13" t="s">
        <v>659</v>
      </c>
      <c r="E13" t="s">
        <v>660</v>
      </c>
      <c r="F13">
        <v>1</v>
      </c>
      <c r="G13">
        <v>0.1</v>
      </c>
      <c r="H13">
        <v>0.3</v>
      </c>
      <c r="I13">
        <v>0.9</v>
      </c>
      <c r="J13">
        <v>0.7</v>
      </c>
      <c r="K13">
        <v>0.1</v>
      </c>
      <c r="L13">
        <v>0.3</v>
      </c>
      <c r="M13">
        <v>0.9</v>
      </c>
      <c r="N13">
        <v>0.7</v>
      </c>
      <c r="O13">
        <v>0.8</v>
      </c>
      <c r="P13">
        <v>0.3</v>
      </c>
      <c r="Q13">
        <v>0.1</v>
      </c>
      <c r="R13">
        <v>0.1</v>
      </c>
      <c r="S13">
        <v>1</v>
      </c>
      <c r="T13">
        <v>0.3</v>
      </c>
      <c r="U13">
        <v>0.1</v>
      </c>
      <c r="V13">
        <v>0.1</v>
      </c>
      <c r="W13">
        <v>-0.67200000000000004</v>
      </c>
      <c r="X13">
        <v>0.47299999999999998</v>
      </c>
      <c r="AQ13">
        <v>0.7</v>
      </c>
      <c r="AR13">
        <v>0.8</v>
      </c>
      <c r="AS13">
        <v>0.3</v>
      </c>
      <c r="AT13">
        <v>0.7</v>
      </c>
      <c r="AU13">
        <v>0.1</v>
      </c>
      <c r="AV13">
        <v>0.2</v>
      </c>
      <c r="AW13">
        <v>-0.125</v>
      </c>
      <c r="AX13">
        <v>0.35699999999999998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1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</row>
    <row r="14" spans="1:656" x14ac:dyDescent="0.2">
      <c r="A14" t="s">
        <v>686</v>
      </c>
      <c r="D14" t="s">
        <v>674</v>
      </c>
      <c r="E14" t="s">
        <v>660</v>
      </c>
      <c r="F14">
        <v>1</v>
      </c>
      <c r="G14">
        <v>0.3</v>
      </c>
      <c r="H14">
        <v>0.4</v>
      </c>
      <c r="I14">
        <v>0.8</v>
      </c>
      <c r="J14">
        <v>0.2</v>
      </c>
      <c r="K14">
        <v>0.2</v>
      </c>
      <c r="L14">
        <v>0.3</v>
      </c>
      <c r="M14">
        <v>0.9</v>
      </c>
      <c r="N14">
        <v>0.3</v>
      </c>
      <c r="O14">
        <v>0.4</v>
      </c>
      <c r="P14">
        <v>0.5</v>
      </c>
      <c r="Q14">
        <v>0.8</v>
      </c>
      <c r="R14">
        <v>0.3</v>
      </c>
      <c r="S14">
        <v>0.3</v>
      </c>
      <c r="T14">
        <v>0.4</v>
      </c>
      <c r="U14">
        <v>0.9</v>
      </c>
      <c r="V14">
        <v>0.3</v>
      </c>
      <c r="W14">
        <v>-0.48899999999999999</v>
      </c>
      <c r="X14">
        <v>0.53200000000000003</v>
      </c>
      <c r="AQ14">
        <v>0.3</v>
      </c>
      <c r="AR14">
        <v>0.8</v>
      </c>
      <c r="AS14">
        <v>0.4</v>
      </c>
      <c r="AT14">
        <v>0.9</v>
      </c>
      <c r="AU14">
        <v>0.1</v>
      </c>
      <c r="AV14">
        <v>0.9</v>
      </c>
      <c r="AW14">
        <v>-0.5</v>
      </c>
      <c r="AX14">
        <v>0.11899999999999999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1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2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1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</row>
    <row r="15" spans="1:656" x14ac:dyDescent="0.2">
      <c r="A15" t="s">
        <v>687</v>
      </c>
      <c r="D15" t="s">
        <v>659</v>
      </c>
      <c r="E15" t="s">
        <v>660</v>
      </c>
      <c r="F15">
        <v>5</v>
      </c>
      <c r="G15">
        <v>0.84</v>
      </c>
      <c r="H15">
        <v>0.76</v>
      </c>
      <c r="I15">
        <v>0.3</v>
      </c>
      <c r="J15">
        <v>0.3</v>
      </c>
      <c r="K15">
        <v>0.84</v>
      </c>
      <c r="L15">
        <v>0.67999999999999905</v>
      </c>
      <c r="M15">
        <v>0.48</v>
      </c>
      <c r="N15">
        <v>0.46</v>
      </c>
      <c r="O15">
        <v>0.76</v>
      </c>
      <c r="P15">
        <v>0.78</v>
      </c>
      <c r="Q15">
        <v>0.62</v>
      </c>
      <c r="R15">
        <v>0.57999999999999996</v>
      </c>
      <c r="S15">
        <v>0.57999999999999996</v>
      </c>
      <c r="T15">
        <v>0.5</v>
      </c>
      <c r="U15">
        <v>0.62</v>
      </c>
      <c r="V15">
        <v>0.57999999999999996</v>
      </c>
      <c r="W15">
        <v>0.13919999999999999</v>
      </c>
      <c r="X15">
        <v>0.73360000000000003</v>
      </c>
      <c r="Y15">
        <v>0.134164078649987</v>
      </c>
      <c r="Z15">
        <v>8.9442719099991602E-2</v>
      </c>
      <c r="AA15">
        <v>0.187082869338697</v>
      </c>
      <c r="AB15">
        <v>0.187082869338697</v>
      </c>
      <c r="AC15">
        <v>0.167332005306815</v>
      </c>
      <c r="AD15">
        <v>4.4721359549995697E-2</v>
      </c>
      <c r="AE15">
        <v>0.40249223594996197</v>
      </c>
      <c r="AF15">
        <v>0.35071355833500301</v>
      </c>
      <c r="AG15">
        <v>0.207364413533277</v>
      </c>
      <c r="AH15">
        <v>8.3666002653407595E-2</v>
      </c>
      <c r="AI15">
        <v>0.47644516998286301</v>
      </c>
      <c r="AJ15">
        <v>0.44384682042344198</v>
      </c>
      <c r="AK15">
        <v>0.38987177379235799</v>
      </c>
      <c r="AL15">
        <v>0.21213203435596401</v>
      </c>
      <c r="AM15">
        <v>0.47644516998286301</v>
      </c>
      <c r="AN15">
        <v>0.44384682042344198</v>
      </c>
      <c r="AO15">
        <v>0.41614805057815601</v>
      </c>
      <c r="AP15">
        <v>0.13422294885748801</v>
      </c>
      <c r="AQ15">
        <v>0.86</v>
      </c>
      <c r="AR15">
        <v>0.18</v>
      </c>
      <c r="AS15">
        <v>0.78</v>
      </c>
      <c r="AT15">
        <v>0.38</v>
      </c>
      <c r="AU15">
        <v>0.26</v>
      </c>
      <c r="AV15">
        <v>0.94</v>
      </c>
      <c r="AW15">
        <v>0.11259999999999901</v>
      </c>
      <c r="AX15">
        <v>0.50800000000000001</v>
      </c>
      <c r="AY15">
        <v>5.4772255750516502E-2</v>
      </c>
      <c r="AZ15">
        <v>0.13038404810405299</v>
      </c>
      <c r="BA15">
        <v>4.4721359549995801E-2</v>
      </c>
      <c r="BB15">
        <v>0.216794833886788</v>
      </c>
      <c r="BC15">
        <v>0.25099800796022198</v>
      </c>
      <c r="BD15">
        <v>5.4772255750516502E-2</v>
      </c>
      <c r="BE15">
        <v>5.1539305389188099E-2</v>
      </c>
      <c r="BF15">
        <v>3.2984845004941199E-2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4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3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1</v>
      </c>
      <c r="KF15">
        <v>4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0.4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0.8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0.6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0.2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0.2</v>
      </c>
      <c r="VS15">
        <v>0.8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0.2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</row>
    <row r="16" spans="1:656" x14ac:dyDescent="0.2">
      <c r="A16" t="s">
        <v>688</v>
      </c>
      <c r="B16" t="s">
        <v>689</v>
      </c>
      <c r="C16" t="s">
        <v>678</v>
      </c>
      <c r="D16" t="s">
        <v>659</v>
      </c>
      <c r="E16" t="s">
        <v>660</v>
      </c>
      <c r="F16">
        <v>9</v>
      </c>
      <c r="G16">
        <v>0.844444444444444</v>
      </c>
      <c r="H16">
        <v>0.73333333333333295</v>
      </c>
      <c r="I16">
        <v>0.41111111111111098</v>
      </c>
      <c r="J16">
        <v>0.38888888888888801</v>
      </c>
      <c r="K16">
        <v>0.83333333333333304</v>
      </c>
      <c r="L16">
        <v>0.64444444444444404</v>
      </c>
      <c r="M16">
        <v>0.62222222222222201</v>
      </c>
      <c r="N16">
        <v>0.55555555555555503</v>
      </c>
      <c r="O16">
        <v>0.81111111111111101</v>
      </c>
      <c r="P16">
        <v>0.72222222222222199</v>
      </c>
      <c r="Q16">
        <v>0.71111111111111103</v>
      </c>
      <c r="R16">
        <v>0.688888888888888</v>
      </c>
      <c r="S16">
        <v>0.53333333333333299</v>
      </c>
      <c r="T16">
        <v>0.52222222222222203</v>
      </c>
      <c r="U16">
        <v>0.7</v>
      </c>
      <c r="V16">
        <v>0.67777777777777704</v>
      </c>
      <c r="W16">
        <v>0.28111111111111098</v>
      </c>
      <c r="X16">
        <v>0.77933333333333299</v>
      </c>
      <c r="Y16">
        <v>0.11303883305208701</v>
      </c>
      <c r="Z16">
        <v>0.158113883008419</v>
      </c>
      <c r="AA16">
        <v>0.28037673068767799</v>
      </c>
      <c r="AB16">
        <v>0.24720661623652199</v>
      </c>
      <c r="AC16">
        <v>0.18027756377319901</v>
      </c>
      <c r="AD16">
        <v>0.14240006242195799</v>
      </c>
      <c r="AE16">
        <v>0.39299420408505298</v>
      </c>
      <c r="AF16">
        <v>0.34318767136623302</v>
      </c>
      <c r="AG16">
        <v>7.8173595997057199E-2</v>
      </c>
      <c r="AH16">
        <v>9.7182531580755002E-2</v>
      </c>
      <c r="AI16">
        <v>0.35512126254437498</v>
      </c>
      <c r="AJ16">
        <v>0.34075080500434701</v>
      </c>
      <c r="AK16">
        <v>0.31224989991991903</v>
      </c>
      <c r="AL16">
        <v>0.15634719199411401</v>
      </c>
      <c r="AM16">
        <v>0.35707142142714199</v>
      </c>
      <c r="AN16">
        <v>0.338296385503073</v>
      </c>
      <c r="AO16">
        <v>0.356257436569555</v>
      </c>
      <c r="AP16">
        <v>0.114603664862865</v>
      </c>
      <c r="AQ16">
        <v>0.89999999999999902</v>
      </c>
      <c r="AR16">
        <v>0.133333333333333</v>
      </c>
      <c r="AS16">
        <v>0.72222222222222199</v>
      </c>
      <c r="AT16">
        <v>0.35555555555555501</v>
      </c>
      <c r="AU16">
        <v>0.14444444444444399</v>
      </c>
      <c r="AV16">
        <v>0.97777777777777697</v>
      </c>
      <c r="AW16">
        <v>6.1111111111111102E-2</v>
      </c>
      <c r="AX16">
        <v>0.475444444444444</v>
      </c>
      <c r="AY16">
        <v>7.0710678118654696E-2</v>
      </c>
      <c r="AZ16">
        <v>9.9999999999999895E-2</v>
      </c>
      <c r="BA16">
        <v>0.17873008824605999</v>
      </c>
      <c r="BB16">
        <v>0.15898986690282399</v>
      </c>
      <c r="BC16">
        <v>5.2704627669472898E-2</v>
      </c>
      <c r="BD16">
        <v>4.4095855184409803E-2</v>
      </c>
      <c r="BE16">
        <v>0.14409844243124501</v>
      </c>
      <c r="BF16">
        <v>9.1293634924773201E-2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6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3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7</v>
      </c>
      <c r="JG16">
        <v>4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2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1</v>
      </c>
      <c r="MD16">
        <v>3</v>
      </c>
      <c r="ME16">
        <v>0</v>
      </c>
      <c r="MF16">
        <v>0</v>
      </c>
      <c r="MG16">
        <v>2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0.66666666666666596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0.11111111111111099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0.33333333333333298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0.33333333333333298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1.1111111111111101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0.77777777777777701</v>
      </c>
      <c r="UT16">
        <v>0.44444444444444398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0.22222222222222199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0.11111111111111099</v>
      </c>
      <c r="XQ16">
        <v>0.33333333333333298</v>
      </c>
      <c r="XR16">
        <v>0</v>
      </c>
      <c r="XS16">
        <v>0</v>
      </c>
      <c r="XT16">
        <v>0.22222222222222199</v>
      </c>
      <c r="XU16">
        <v>0</v>
      </c>
      <c r="XV16">
        <v>0</v>
      </c>
      <c r="XW16">
        <v>0</v>
      </c>
      <c r="XX16">
        <v>0</v>
      </c>
      <c r="XY16">
        <v>0.11111111111111099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</row>
    <row r="17" spans="1:656" x14ac:dyDescent="0.2">
      <c r="A17" t="s">
        <v>690</v>
      </c>
      <c r="B17" t="s">
        <v>691</v>
      </c>
      <c r="C17" t="s">
        <v>658</v>
      </c>
      <c r="D17" t="s">
        <v>692</v>
      </c>
      <c r="E17" t="s">
        <v>693</v>
      </c>
      <c r="F17">
        <v>40</v>
      </c>
      <c r="G17">
        <v>0.90249999999999997</v>
      </c>
      <c r="H17">
        <v>0.78749999999999998</v>
      </c>
      <c r="I17">
        <v>0.27</v>
      </c>
      <c r="J17">
        <v>0.28499999999999998</v>
      </c>
      <c r="K17">
        <v>0.96</v>
      </c>
      <c r="L17">
        <v>0.70250000000000001</v>
      </c>
      <c r="M17">
        <v>0.42</v>
      </c>
      <c r="N17">
        <v>0.39500000000000002</v>
      </c>
      <c r="O17">
        <v>0.87249999999999905</v>
      </c>
      <c r="P17">
        <v>0.75</v>
      </c>
      <c r="Q17">
        <v>0.48499999999999999</v>
      </c>
      <c r="R17">
        <v>0.46749999999999903</v>
      </c>
      <c r="S17">
        <v>0.73499999999999999</v>
      </c>
      <c r="T17">
        <v>0.60250000000000004</v>
      </c>
      <c r="U17">
        <v>0.48749999999999999</v>
      </c>
      <c r="V17">
        <v>0.47</v>
      </c>
      <c r="W17">
        <v>0.12889999999999999</v>
      </c>
      <c r="X17">
        <v>0.730375</v>
      </c>
      <c r="Y17">
        <v>1.5811388300841799E-2</v>
      </c>
      <c r="Z17">
        <v>0.17858058584579001</v>
      </c>
      <c r="AA17">
        <v>0.210250156254705</v>
      </c>
      <c r="AB17">
        <v>0.22594530765493201</v>
      </c>
      <c r="AC17">
        <v>5.4537683984186298E-2</v>
      </c>
      <c r="AD17">
        <v>0.147609151269362</v>
      </c>
      <c r="AE17">
        <v>0.37361710826693001</v>
      </c>
      <c r="AF17">
        <v>0.32734362091515701</v>
      </c>
      <c r="AG17">
        <v>5.5412208226281803E-2</v>
      </c>
      <c r="AH17">
        <v>0.169463709147264</v>
      </c>
      <c r="AI17">
        <v>0.420347841308014</v>
      </c>
      <c r="AJ17">
        <v>0.39896500714107302</v>
      </c>
      <c r="AK17">
        <v>0.31012817862858999</v>
      </c>
      <c r="AL17">
        <v>0.173186574951956</v>
      </c>
      <c r="AM17">
        <v>0.42134552481550203</v>
      </c>
      <c r="AN17">
        <v>0.39691115068546701</v>
      </c>
      <c r="AO17">
        <v>0.52911327855050205</v>
      </c>
      <c r="AP17">
        <v>0.17013474109718099</v>
      </c>
      <c r="AQ17">
        <v>0.92249999999999999</v>
      </c>
      <c r="AR17">
        <v>8.5000000000000006E-2</v>
      </c>
      <c r="AS17">
        <v>0.86750000000000005</v>
      </c>
      <c r="AT17">
        <v>0.23250000000000001</v>
      </c>
      <c r="AU17">
        <v>0.1525</v>
      </c>
      <c r="AV17">
        <v>0.89249999999999996</v>
      </c>
      <c r="AW17">
        <v>0.19939999999999999</v>
      </c>
      <c r="AX17">
        <v>0.56299999999999994</v>
      </c>
      <c r="AY17">
        <v>5.3048115556563899E-2</v>
      </c>
      <c r="AZ17">
        <v>4.2667467941193998E-2</v>
      </c>
      <c r="BA17">
        <v>5.7233216104295798E-2</v>
      </c>
      <c r="BB17">
        <v>0.11183206273877901</v>
      </c>
      <c r="BC17">
        <v>0.156872478016299</v>
      </c>
      <c r="BD17">
        <v>0.228021029169657</v>
      </c>
      <c r="BE17">
        <v>0.142704967300748</v>
      </c>
      <c r="BF17">
        <v>9.0619520170311094E-2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</v>
      </c>
      <c r="BV17">
        <v>10</v>
      </c>
      <c r="BW17">
        <v>6</v>
      </c>
      <c r="BX17">
        <v>0</v>
      </c>
      <c r="BY17">
        <v>8</v>
      </c>
      <c r="BZ17">
        <v>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27</v>
      </c>
      <c r="CL17">
        <v>4</v>
      </c>
      <c r="CM17">
        <v>0</v>
      </c>
      <c r="CN17">
        <v>0</v>
      </c>
      <c r="CO17">
        <v>0</v>
      </c>
      <c r="CP17">
        <v>0</v>
      </c>
      <c r="CQ17">
        <v>5</v>
      </c>
      <c r="CR17">
        <v>0</v>
      </c>
      <c r="CS17">
        <v>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0</v>
      </c>
      <c r="EG17">
        <v>0</v>
      </c>
      <c r="EH17">
        <v>4</v>
      </c>
      <c r="EI17">
        <v>0</v>
      </c>
      <c r="EJ17">
        <v>0</v>
      </c>
      <c r="EK17">
        <v>0</v>
      </c>
      <c r="EL17">
        <v>0</v>
      </c>
      <c r="EM17">
        <v>16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4</v>
      </c>
      <c r="GD17">
        <v>0</v>
      </c>
      <c r="GE17">
        <v>0</v>
      </c>
      <c r="GF17">
        <v>0</v>
      </c>
      <c r="GG17">
        <v>3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4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4</v>
      </c>
      <c r="HG17">
        <v>0</v>
      </c>
      <c r="HH17">
        <v>0</v>
      </c>
      <c r="HI17">
        <v>0</v>
      </c>
      <c r="HJ17">
        <v>0</v>
      </c>
      <c r="HK17">
        <v>3</v>
      </c>
      <c r="HL17">
        <v>0</v>
      </c>
      <c r="HM17">
        <v>0</v>
      </c>
      <c r="HN17">
        <v>0</v>
      </c>
      <c r="HO17">
        <v>0</v>
      </c>
      <c r="HP17">
        <v>2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22</v>
      </c>
      <c r="IA17">
        <v>4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2</v>
      </c>
      <c r="IY17">
        <v>0</v>
      </c>
      <c r="IZ17">
        <v>8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9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3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2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7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3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2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10</v>
      </c>
      <c r="LM17">
        <v>3</v>
      </c>
      <c r="LN17">
        <v>1</v>
      </c>
      <c r="LO17">
        <v>1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3</v>
      </c>
      <c r="LY17">
        <v>0</v>
      </c>
      <c r="LZ17">
        <v>0</v>
      </c>
      <c r="MA17">
        <v>0</v>
      </c>
      <c r="MB17">
        <v>0</v>
      </c>
      <c r="MC17">
        <v>3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5</v>
      </c>
      <c r="MK17">
        <v>0</v>
      </c>
      <c r="ML17">
        <v>1</v>
      </c>
      <c r="MM17">
        <v>3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0.05</v>
      </c>
      <c r="NI17">
        <v>0.25</v>
      </c>
      <c r="NJ17">
        <v>0.15</v>
      </c>
      <c r="NK17">
        <v>0</v>
      </c>
      <c r="NL17">
        <v>0.2</v>
      </c>
      <c r="NM17">
        <v>7.4999999999999997E-2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0.67500000000000004</v>
      </c>
      <c r="NY17">
        <v>0.1</v>
      </c>
      <c r="NZ17">
        <v>0</v>
      </c>
      <c r="OA17">
        <v>0</v>
      </c>
      <c r="OB17">
        <v>0</v>
      </c>
      <c r="OC17">
        <v>0</v>
      </c>
      <c r="OD17">
        <v>0.125</v>
      </c>
      <c r="OE17">
        <v>0</v>
      </c>
      <c r="OF17">
        <v>0.05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0.125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0.05</v>
      </c>
      <c r="PQ17">
        <v>0</v>
      </c>
      <c r="PR17">
        <v>0</v>
      </c>
      <c r="PS17">
        <v>0</v>
      </c>
      <c r="PT17">
        <v>0</v>
      </c>
      <c r="PU17">
        <v>0.1</v>
      </c>
      <c r="PV17">
        <v>0</v>
      </c>
      <c r="PW17">
        <v>0</v>
      </c>
      <c r="PX17">
        <v>0</v>
      </c>
      <c r="PY17">
        <v>0</v>
      </c>
      <c r="PZ17">
        <v>0.4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0.05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0.1</v>
      </c>
      <c r="RQ17">
        <v>0</v>
      </c>
      <c r="RR17">
        <v>0</v>
      </c>
      <c r="RS17">
        <v>0</v>
      </c>
      <c r="RT17">
        <v>7.4999999999999997E-2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0.1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0.1</v>
      </c>
      <c r="ST17">
        <v>0</v>
      </c>
      <c r="SU17">
        <v>0</v>
      </c>
      <c r="SV17">
        <v>0</v>
      </c>
      <c r="SW17">
        <v>0</v>
      </c>
      <c r="SX17">
        <v>7.4999999999999997E-2</v>
      </c>
      <c r="SY17">
        <v>0</v>
      </c>
      <c r="SZ17">
        <v>0</v>
      </c>
      <c r="TA17">
        <v>0</v>
      </c>
      <c r="TB17">
        <v>0</v>
      </c>
      <c r="TC17">
        <v>0.05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0.55000000000000004</v>
      </c>
      <c r="TN17">
        <v>0.1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0.27500000000000002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2.5000000000000001E-2</v>
      </c>
      <c r="UJ17">
        <v>0</v>
      </c>
      <c r="UK17">
        <v>0.05</v>
      </c>
      <c r="UL17">
        <v>0</v>
      </c>
      <c r="UM17">
        <v>0.2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0.22500000000000001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7.4999999999999997E-2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0.05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0.17499999999999999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7.4999999999999997E-2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0.05</v>
      </c>
      <c r="WN17">
        <v>2.5000000000000001E-2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0.25</v>
      </c>
      <c r="WZ17">
        <v>7.4999999999999997E-2</v>
      </c>
      <c r="XA17">
        <v>2.5000000000000001E-2</v>
      </c>
      <c r="XB17">
        <v>2.5000000000000001E-2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7.4999999999999997E-2</v>
      </c>
      <c r="XL17">
        <v>0</v>
      </c>
      <c r="XM17">
        <v>0</v>
      </c>
      <c r="XN17">
        <v>0</v>
      </c>
      <c r="XO17">
        <v>0</v>
      </c>
      <c r="XP17">
        <v>7.4999999999999997E-2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0.125</v>
      </c>
      <c r="XX17">
        <v>0</v>
      </c>
      <c r="XY17">
        <v>2.5000000000000001E-2</v>
      </c>
      <c r="XZ17">
        <v>7.4999999999999997E-2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</row>
    <row r="18" spans="1:656" x14ac:dyDescent="0.2">
      <c r="A18" t="s">
        <v>694</v>
      </c>
      <c r="B18" t="s">
        <v>695</v>
      </c>
      <c r="C18" t="s">
        <v>667</v>
      </c>
      <c r="D18" t="s">
        <v>674</v>
      </c>
      <c r="E18" t="s">
        <v>660</v>
      </c>
      <c r="F18">
        <v>2</v>
      </c>
      <c r="G18">
        <v>0.8</v>
      </c>
      <c r="H18">
        <v>0.65</v>
      </c>
      <c r="I18">
        <v>0.1</v>
      </c>
      <c r="J18">
        <v>0.1</v>
      </c>
      <c r="K18">
        <v>0.85</v>
      </c>
      <c r="L18">
        <v>0.6</v>
      </c>
      <c r="M18">
        <v>0.1</v>
      </c>
      <c r="N18">
        <v>0.1</v>
      </c>
      <c r="O18">
        <v>0.85</v>
      </c>
      <c r="P18">
        <v>0.7</v>
      </c>
      <c r="Q18">
        <v>0.3</v>
      </c>
      <c r="R18">
        <v>0.3</v>
      </c>
      <c r="S18">
        <v>0.9</v>
      </c>
      <c r="T18">
        <v>0.64999999999999902</v>
      </c>
      <c r="U18">
        <v>0.25</v>
      </c>
      <c r="V18">
        <v>0.25</v>
      </c>
      <c r="W18">
        <v>-0.27749999999999903</v>
      </c>
      <c r="X18">
        <v>0.59949999999999903</v>
      </c>
      <c r="Y18">
        <v>0.141421356237309</v>
      </c>
      <c r="Z18">
        <v>0.21213203435596401</v>
      </c>
      <c r="AA18">
        <v>0</v>
      </c>
      <c r="AB18">
        <v>0</v>
      </c>
      <c r="AC18">
        <v>0.21213203435596401</v>
      </c>
      <c r="AD18">
        <v>0.141421356237309</v>
      </c>
      <c r="AE18">
        <v>0</v>
      </c>
      <c r="AF18">
        <v>0</v>
      </c>
      <c r="AG18">
        <v>7.0710678118654696E-2</v>
      </c>
      <c r="AH18">
        <v>0.141421356237309</v>
      </c>
      <c r="AI18">
        <v>0.28284271247461901</v>
      </c>
      <c r="AJ18">
        <v>0.28284271247461901</v>
      </c>
      <c r="AK18">
        <v>0.141421356237309</v>
      </c>
      <c r="AL18">
        <v>7.0710678118654696E-2</v>
      </c>
      <c r="AM18">
        <v>0.21213203435596401</v>
      </c>
      <c r="AN18">
        <v>0.21213203435596401</v>
      </c>
      <c r="AO18">
        <v>7.7781745930519701E-3</v>
      </c>
      <c r="AP18">
        <v>2.1213203435596802E-3</v>
      </c>
      <c r="AQ18">
        <v>0.85</v>
      </c>
      <c r="AR18">
        <v>0.15</v>
      </c>
      <c r="AS18">
        <v>0.85</v>
      </c>
      <c r="AT18">
        <v>0.25</v>
      </c>
      <c r="AU18">
        <v>0.25</v>
      </c>
      <c r="AV18">
        <v>0.85</v>
      </c>
      <c r="AW18">
        <v>0.20649999999999999</v>
      </c>
      <c r="AX18">
        <v>0.5675</v>
      </c>
      <c r="AY18">
        <v>7.0710678118654696E-2</v>
      </c>
      <c r="AZ18">
        <v>7.0710678118654696E-2</v>
      </c>
      <c r="BA18">
        <v>7.0710678118654696E-2</v>
      </c>
      <c r="BB18">
        <v>7.0710678118654696E-2</v>
      </c>
      <c r="BC18">
        <v>0.21213203435596401</v>
      </c>
      <c r="BD18">
        <v>7.0710678118654696E-2</v>
      </c>
      <c r="BE18">
        <v>7.9903066274079795E-2</v>
      </c>
      <c r="BF18">
        <v>5.02045814642448E-2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4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1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1.5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2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1.5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0.5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</row>
    <row r="19" spans="1:656" x14ac:dyDescent="0.2">
      <c r="A19" t="s">
        <v>696</v>
      </c>
      <c r="B19" t="s">
        <v>697</v>
      </c>
      <c r="C19" t="s">
        <v>658</v>
      </c>
      <c r="D19" t="s">
        <v>698</v>
      </c>
      <c r="E19" t="s">
        <v>660</v>
      </c>
      <c r="F19">
        <v>5</v>
      </c>
      <c r="G19">
        <v>0.9</v>
      </c>
      <c r="H19">
        <v>0.82</v>
      </c>
      <c r="I19">
        <v>0.36</v>
      </c>
      <c r="J19">
        <v>0.36</v>
      </c>
      <c r="K19">
        <v>0.94</v>
      </c>
      <c r="L19">
        <v>0.67999999999999905</v>
      </c>
      <c r="M19">
        <v>0.55999999999999905</v>
      </c>
      <c r="N19">
        <v>0.5</v>
      </c>
      <c r="O19">
        <v>0.82</v>
      </c>
      <c r="P19">
        <v>0.82</v>
      </c>
      <c r="Q19">
        <v>0.78</v>
      </c>
      <c r="R19">
        <v>0.78</v>
      </c>
      <c r="S19">
        <v>0.5</v>
      </c>
      <c r="T19">
        <v>0.5</v>
      </c>
      <c r="U19">
        <v>0.8</v>
      </c>
      <c r="V19">
        <v>0.76</v>
      </c>
      <c r="W19">
        <v>0.41059999999999902</v>
      </c>
      <c r="X19">
        <v>0.82099999999999995</v>
      </c>
      <c r="Y19">
        <v>0</v>
      </c>
      <c r="Z19">
        <v>0.13038404810405299</v>
      </c>
      <c r="AA19">
        <v>0.270185121722125</v>
      </c>
      <c r="AB19">
        <v>0.270185121722125</v>
      </c>
      <c r="AC19">
        <v>8.9442719099991505E-2</v>
      </c>
      <c r="AD19">
        <v>0.16431676725154901</v>
      </c>
      <c r="AE19">
        <v>0.421900462194579</v>
      </c>
      <c r="AF19">
        <v>0.367423461417476</v>
      </c>
      <c r="AG19">
        <v>0.17888543819998301</v>
      </c>
      <c r="AH19">
        <v>4.4721359549995697E-2</v>
      </c>
      <c r="AI19">
        <v>0.38340579025361599</v>
      </c>
      <c r="AJ19">
        <v>0.38340579025361599</v>
      </c>
      <c r="AK19">
        <v>0.32403703492039299</v>
      </c>
      <c r="AL19">
        <v>0.23452078799117099</v>
      </c>
      <c r="AM19">
        <v>0.39370039370059001</v>
      </c>
      <c r="AN19">
        <v>0.37815340802378</v>
      </c>
      <c r="AO19">
        <v>0.56608771405145297</v>
      </c>
      <c r="AP19">
        <v>0.18207416071480301</v>
      </c>
      <c r="AQ19">
        <v>0.94</v>
      </c>
      <c r="AR19">
        <v>0.08</v>
      </c>
      <c r="AS19">
        <v>0.84</v>
      </c>
      <c r="AT19">
        <v>0.3</v>
      </c>
      <c r="AU19">
        <v>0.32</v>
      </c>
      <c r="AV19">
        <v>0.91999999999999904</v>
      </c>
      <c r="AW19">
        <v>0.23039999999999999</v>
      </c>
      <c r="AX19">
        <v>0.58260000000000001</v>
      </c>
      <c r="AY19">
        <v>5.4772255750516599E-2</v>
      </c>
      <c r="AZ19">
        <v>4.4721359549995697E-2</v>
      </c>
      <c r="BA19">
        <v>5.4772255750516599E-2</v>
      </c>
      <c r="BB19">
        <v>0.158113883008418</v>
      </c>
      <c r="BC19">
        <v>0.29495762407505199</v>
      </c>
      <c r="BD19">
        <v>8.3666002653407498E-2</v>
      </c>
      <c r="BE19">
        <v>0.13224522675695999</v>
      </c>
      <c r="BF19">
        <v>8.4120746549231198E-2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3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6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2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2</v>
      </c>
      <c r="LT19">
        <v>0</v>
      </c>
      <c r="LU19">
        <v>2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4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0.4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0.6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0.4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0.6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0.4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0.6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1.2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0.4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0.4</v>
      </c>
      <c r="XG19">
        <v>0</v>
      </c>
      <c r="XH19">
        <v>0.4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0.8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</row>
    <row r="20" spans="1:656" x14ac:dyDescent="0.2">
      <c r="A20" t="s">
        <v>699</v>
      </c>
      <c r="D20" t="s">
        <v>668</v>
      </c>
      <c r="E20" t="s">
        <v>660</v>
      </c>
      <c r="F20">
        <v>2</v>
      </c>
      <c r="G20">
        <v>0.9</v>
      </c>
      <c r="H20">
        <v>0.7</v>
      </c>
      <c r="I20">
        <v>0.25</v>
      </c>
      <c r="J20">
        <v>0.25</v>
      </c>
      <c r="K20">
        <v>0.85</v>
      </c>
      <c r="L20">
        <v>0.64999999999999902</v>
      </c>
      <c r="M20">
        <v>0.5</v>
      </c>
      <c r="N20">
        <v>0.45</v>
      </c>
      <c r="O20">
        <v>0.75</v>
      </c>
      <c r="P20">
        <v>0.8</v>
      </c>
      <c r="Q20">
        <v>1</v>
      </c>
      <c r="R20">
        <v>0.95</v>
      </c>
      <c r="S20">
        <v>0.5</v>
      </c>
      <c r="T20">
        <v>0.5</v>
      </c>
      <c r="U20">
        <v>1</v>
      </c>
      <c r="V20">
        <v>0.95</v>
      </c>
      <c r="W20">
        <v>0.499</v>
      </c>
      <c r="X20">
        <v>0.84950000000000003</v>
      </c>
      <c r="Y20">
        <v>0</v>
      </c>
      <c r="Z20">
        <v>0.141421356237309</v>
      </c>
      <c r="AA20">
        <v>0.21213203435596401</v>
      </c>
      <c r="AB20">
        <v>0.21213203435596401</v>
      </c>
      <c r="AC20">
        <v>7.0710678118654696E-2</v>
      </c>
      <c r="AD20">
        <v>7.0710678118654696E-2</v>
      </c>
      <c r="AE20">
        <v>0.56568542494923801</v>
      </c>
      <c r="AF20">
        <v>0.49497474683058301</v>
      </c>
      <c r="AG20">
        <v>7.0710678118654793E-2</v>
      </c>
      <c r="AH20">
        <v>0.141421356237309</v>
      </c>
      <c r="AI20">
        <v>0</v>
      </c>
      <c r="AJ20">
        <v>7.0710678118654696E-2</v>
      </c>
      <c r="AK20">
        <v>0.141421356237309</v>
      </c>
      <c r="AL20">
        <v>0</v>
      </c>
      <c r="AM20">
        <v>0</v>
      </c>
      <c r="AN20">
        <v>7.0710678118654696E-2</v>
      </c>
      <c r="AO20">
        <v>0.23334523779156</v>
      </c>
      <c r="AP20">
        <v>7.5660425586960497E-2</v>
      </c>
      <c r="AQ20">
        <v>0.9</v>
      </c>
      <c r="AR20">
        <v>0.15</v>
      </c>
      <c r="AS20">
        <v>0.75</v>
      </c>
      <c r="AT20">
        <v>0.6</v>
      </c>
      <c r="AU20">
        <v>0.55000000000000004</v>
      </c>
      <c r="AV20">
        <v>0.95</v>
      </c>
      <c r="AW20">
        <v>0.16900000000000001</v>
      </c>
      <c r="AX20">
        <v>0.54349999999999998</v>
      </c>
      <c r="AY20">
        <v>0.141421356237309</v>
      </c>
      <c r="AZ20">
        <v>7.0710678118654696E-2</v>
      </c>
      <c r="BA20">
        <v>7.0710678118654793E-2</v>
      </c>
      <c r="BB20">
        <v>0.141421356237309</v>
      </c>
      <c r="BC20">
        <v>0.49497474683058301</v>
      </c>
      <c r="BD20">
        <v>7.0710678118654696E-2</v>
      </c>
      <c r="BE20">
        <v>0.20364675298172499</v>
      </c>
      <c r="BF20">
        <v>0.12940054095713799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5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6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0.5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2.5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3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</row>
    <row r="21" spans="1:656" x14ac:dyDescent="0.2">
      <c r="A21" t="s">
        <v>700</v>
      </c>
      <c r="D21" t="s">
        <v>659</v>
      </c>
      <c r="E21" t="s">
        <v>660</v>
      </c>
      <c r="F21">
        <v>2</v>
      </c>
      <c r="G21">
        <v>0.65</v>
      </c>
      <c r="H21">
        <v>0.7</v>
      </c>
      <c r="I21">
        <v>0.6</v>
      </c>
      <c r="J21">
        <v>0.55000000000000004</v>
      </c>
      <c r="K21">
        <v>0.55000000000000004</v>
      </c>
      <c r="L21">
        <v>0.6</v>
      </c>
      <c r="M21">
        <v>0.9</v>
      </c>
      <c r="N21">
        <v>0.8</v>
      </c>
      <c r="O21">
        <v>0.65</v>
      </c>
      <c r="P21">
        <v>0.64999999999999902</v>
      </c>
      <c r="Q21">
        <v>0.95</v>
      </c>
      <c r="R21">
        <v>0.95</v>
      </c>
      <c r="S21">
        <v>0.35</v>
      </c>
      <c r="T21">
        <v>0.45</v>
      </c>
      <c r="U21">
        <v>0.95</v>
      </c>
      <c r="V21">
        <v>0.95</v>
      </c>
      <c r="W21">
        <v>0.45550000000000002</v>
      </c>
      <c r="X21">
        <v>0.83599999999999997</v>
      </c>
      <c r="Y21">
        <v>0.35355339059327301</v>
      </c>
      <c r="Z21">
        <v>0.141421356237309</v>
      </c>
      <c r="AA21">
        <v>0.28284271247461901</v>
      </c>
      <c r="AB21">
        <v>0.21213203435596401</v>
      </c>
      <c r="AC21">
        <v>0.35355339059327301</v>
      </c>
      <c r="AD21">
        <v>0.141421356237309</v>
      </c>
      <c r="AE21">
        <v>0</v>
      </c>
      <c r="AF21">
        <v>0</v>
      </c>
      <c r="AG21">
        <v>0.21213203435596401</v>
      </c>
      <c r="AH21">
        <v>7.0710678118654696E-2</v>
      </c>
      <c r="AI21">
        <v>7.0710678118654696E-2</v>
      </c>
      <c r="AJ21">
        <v>7.0710678118654696E-2</v>
      </c>
      <c r="AK21">
        <v>7.0710678118654696E-2</v>
      </c>
      <c r="AL21">
        <v>7.0710678118654696E-2</v>
      </c>
      <c r="AM21">
        <v>7.0710678118654696E-2</v>
      </c>
      <c r="AN21">
        <v>7.0710678118654696E-2</v>
      </c>
      <c r="AO21">
        <v>0.18879751057680799</v>
      </c>
      <c r="AP21">
        <v>6.0811183182042997E-2</v>
      </c>
      <c r="AQ21">
        <v>0.7</v>
      </c>
      <c r="AR21">
        <v>0.3</v>
      </c>
      <c r="AS21">
        <v>0.65</v>
      </c>
      <c r="AT21">
        <v>0.6</v>
      </c>
      <c r="AU21">
        <v>0.25</v>
      </c>
      <c r="AV21">
        <v>0.9</v>
      </c>
      <c r="AW21">
        <v>-0.05</v>
      </c>
      <c r="AX21">
        <v>0.40449999999999903</v>
      </c>
      <c r="AY21">
        <v>0.141421356237309</v>
      </c>
      <c r="AZ21">
        <v>0.141421356237309</v>
      </c>
      <c r="BA21">
        <v>0.21213203435596401</v>
      </c>
      <c r="BB21">
        <v>0.141421356237309</v>
      </c>
      <c r="BC21">
        <v>7.0710678118654696E-2</v>
      </c>
      <c r="BD21">
        <v>0.141421356237309</v>
      </c>
      <c r="BE21">
        <v>0.106066017177982</v>
      </c>
      <c r="BF21">
        <v>6.7175144212721999E-2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2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2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4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4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2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1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1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2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2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</row>
    <row r="22" spans="1:656" x14ac:dyDescent="0.2">
      <c r="A22" t="s">
        <v>701</v>
      </c>
      <c r="D22" t="s">
        <v>702</v>
      </c>
      <c r="E22" t="s">
        <v>660</v>
      </c>
      <c r="F22">
        <v>3</v>
      </c>
      <c r="G22">
        <v>0.83333333333333304</v>
      </c>
      <c r="H22">
        <v>0.73333333333333295</v>
      </c>
      <c r="I22">
        <v>0.46666666666666601</v>
      </c>
      <c r="J22">
        <v>0.46666666666666601</v>
      </c>
      <c r="K22">
        <v>0.86666666666666603</v>
      </c>
      <c r="L22">
        <v>0.66666666666666596</v>
      </c>
      <c r="M22">
        <v>0.63333333333333297</v>
      </c>
      <c r="N22">
        <v>0.56666666666666599</v>
      </c>
      <c r="O22">
        <v>0.73333333333333295</v>
      </c>
      <c r="P22">
        <v>0.79999999999999905</v>
      </c>
      <c r="Q22">
        <v>1</v>
      </c>
      <c r="R22">
        <v>0.93333333333333302</v>
      </c>
      <c r="S22">
        <v>0.36666666666666597</v>
      </c>
      <c r="T22">
        <v>0.43333333333333302</v>
      </c>
      <c r="U22">
        <v>1</v>
      </c>
      <c r="V22">
        <v>0.93333333333333302</v>
      </c>
      <c r="W22">
        <v>0.52400000000000002</v>
      </c>
      <c r="X22">
        <v>0.85733333333333295</v>
      </c>
      <c r="Y22">
        <v>0.115470053837925</v>
      </c>
      <c r="Z22">
        <v>0.20816659994661299</v>
      </c>
      <c r="AA22">
        <v>0.25166114784235799</v>
      </c>
      <c r="AB22">
        <v>0.25166114784235799</v>
      </c>
      <c r="AC22">
        <v>0.152752523165194</v>
      </c>
      <c r="AD22">
        <v>0.152752523165194</v>
      </c>
      <c r="AE22">
        <v>0.46188021535169999</v>
      </c>
      <c r="AF22">
        <v>0.404145188432738</v>
      </c>
      <c r="AG22">
        <v>0.20816659994661299</v>
      </c>
      <c r="AH22">
        <v>0.1</v>
      </c>
      <c r="AI22">
        <v>0</v>
      </c>
      <c r="AJ22">
        <v>0.115470053837925</v>
      </c>
      <c r="AK22">
        <v>0.152752523165194</v>
      </c>
      <c r="AL22">
        <v>0.20816659994661299</v>
      </c>
      <c r="AM22">
        <v>0</v>
      </c>
      <c r="AN22">
        <v>0.115470053837925</v>
      </c>
      <c r="AO22">
        <v>0.553937722131288</v>
      </c>
      <c r="AP22">
        <v>0.17815816942630799</v>
      </c>
      <c r="AQ22">
        <v>0.83333333333333304</v>
      </c>
      <c r="AR22">
        <v>0.19999999999999901</v>
      </c>
      <c r="AS22">
        <v>0.66666666666666596</v>
      </c>
      <c r="AT22">
        <v>0.56666666666666599</v>
      </c>
      <c r="AU22">
        <v>0.39999999999999902</v>
      </c>
      <c r="AV22">
        <v>0.96666666666666601</v>
      </c>
      <c r="AW22">
        <v>5.4333333333333303E-2</v>
      </c>
      <c r="AX22">
        <v>0.47066666666666601</v>
      </c>
      <c r="AY22">
        <v>0.20816659994661299</v>
      </c>
      <c r="AZ22">
        <v>0.26457513110645903</v>
      </c>
      <c r="BA22">
        <v>0.321455025366431</v>
      </c>
      <c r="BB22">
        <v>0.305505046330389</v>
      </c>
      <c r="BC22">
        <v>0.26457513110645903</v>
      </c>
      <c r="BD22">
        <v>5.7735026918962498E-2</v>
      </c>
      <c r="BE22">
        <v>0.194744276766567</v>
      </c>
      <c r="BF22">
        <v>0.123313962442755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4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2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5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2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7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6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1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13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1.3333333333333299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0.66666666666666596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1.6666666666666601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0.66666666666666596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2.3333333333333299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2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0.33333333333333298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4.3333333333333304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</row>
    <row r="23" spans="1:656" x14ac:dyDescent="0.2">
      <c r="A23" t="s">
        <v>703</v>
      </c>
      <c r="B23" t="s">
        <v>704</v>
      </c>
      <c r="C23" t="s">
        <v>658</v>
      </c>
      <c r="D23" t="s">
        <v>698</v>
      </c>
      <c r="E23" t="s">
        <v>660</v>
      </c>
      <c r="F23">
        <v>2</v>
      </c>
      <c r="G23">
        <v>0.85</v>
      </c>
      <c r="H23">
        <v>0.8</v>
      </c>
      <c r="I23">
        <v>0.44999999999999901</v>
      </c>
      <c r="J23">
        <v>0.44999999999999901</v>
      </c>
      <c r="K23">
        <v>0.85</v>
      </c>
      <c r="L23">
        <v>0.7</v>
      </c>
      <c r="M23">
        <v>0.85</v>
      </c>
      <c r="N23">
        <v>0.75</v>
      </c>
      <c r="O23">
        <v>0.85</v>
      </c>
      <c r="P23">
        <v>0.75</v>
      </c>
      <c r="Q23">
        <v>0.95</v>
      </c>
      <c r="R23">
        <v>0.95</v>
      </c>
      <c r="S23">
        <v>0.4</v>
      </c>
      <c r="T23">
        <v>0.5</v>
      </c>
      <c r="U23">
        <v>0.95</v>
      </c>
      <c r="V23">
        <v>0.95</v>
      </c>
      <c r="W23">
        <v>0.63800000000000001</v>
      </c>
      <c r="X23">
        <v>0.89400000000000002</v>
      </c>
      <c r="Y23">
        <v>7.0710678118654696E-2</v>
      </c>
      <c r="Z23">
        <v>0.141421356237309</v>
      </c>
      <c r="AA23">
        <v>0.21213203435596401</v>
      </c>
      <c r="AB23">
        <v>0.21213203435596401</v>
      </c>
      <c r="AC23">
        <v>0.21213203435596401</v>
      </c>
      <c r="AD23">
        <v>0.141421356237309</v>
      </c>
      <c r="AE23">
        <v>7.0710678118654696E-2</v>
      </c>
      <c r="AF23">
        <v>7.0710678118654793E-2</v>
      </c>
      <c r="AG23">
        <v>7.0710678118654696E-2</v>
      </c>
      <c r="AH23">
        <v>7.0710678118654793E-2</v>
      </c>
      <c r="AI23">
        <v>7.0710678118654696E-2</v>
      </c>
      <c r="AJ23">
        <v>7.0710678118654696E-2</v>
      </c>
      <c r="AK23">
        <v>0.141421356237309</v>
      </c>
      <c r="AL23">
        <v>0.141421356237309</v>
      </c>
      <c r="AM23">
        <v>7.0710678118654696E-2</v>
      </c>
      <c r="AN23">
        <v>7.0710678118654696E-2</v>
      </c>
      <c r="AO23">
        <v>0.41295036021294301</v>
      </c>
      <c r="AP23">
        <v>0.13293607486306999</v>
      </c>
      <c r="AQ23">
        <v>0.75</v>
      </c>
      <c r="AR23">
        <v>0.2</v>
      </c>
      <c r="AS23">
        <v>0.65</v>
      </c>
      <c r="AT23">
        <v>0.55000000000000004</v>
      </c>
      <c r="AU23">
        <v>0.25</v>
      </c>
      <c r="AV23">
        <v>0.95</v>
      </c>
      <c r="AW23">
        <v>-1.8499999999999999E-2</v>
      </c>
      <c r="AX23">
        <v>0.42449999999999999</v>
      </c>
      <c r="AY23">
        <v>0.21213203435596401</v>
      </c>
      <c r="AZ23">
        <v>0.141421356237309</v>
      </c>
      <c r="BA23">
        <v>0.21213203435596401</v>
      </c>
      <c r="BB23">
        <v>0.21213203435596401</v>
      </c>
      <c r="BC23">
        <v>0.21213203435596401</v>
      </c>
      <c r="BD23">
        <v>7.0710678118654696E-2</v>
      </c>
      <c r="BE23">
        <v>0.115258405333407</v>
      </c>
      <c r="BF23">
        <v>7.2831998462214304E-2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2</v>
      </c>
      <c r="IO23">
        <v>0</v>
      </c>
      <c r="IP23">
        <v>0</v>
      </c>
      <c r="IQ23">
        <v>0</v>
      </c>
      <c r="IR23">
        <v>2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1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0.5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1</v>
      </c>
      <c r="UB23">
        <v>0</v>
      </c>
      <c r="UC23">
        <v>0</v>
      </c>
      <c r="UD23">
        <v>0</v>
      </c>
      <c r="UE23">
        <v>1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0.5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0.5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</row>
    <row r="24" spans="1:656" x14ac:dyDescent="0.2">
      <c r="A24" t="s">
        <v>705</v>
      </c>
      <c r="D24" t="s">
        <v>668</v>
      </c>
      <c r="E24" t="s">
        <v>660</v>
      </c>
      <c r="F24">
        <v>9</v>
      </c>
      <c r="G24">
        <v>0.87777777777777699</v>
      </c>
      <c r="H24">
        <v>0.81111111111111101</v>
      </c>
      <c r="I24">
        <v>0.25555555555555498</v>
      </c>
      <c r="J24">
        <v>0.24444444444444399</v>
      </c>
      <c r="K24">
        <v>0.94444444444444398</v>
      </c>
      <c r="L24">
        <v>0.71111111111111103</v>
      </c>
      <c r="M24">
        <v>0.28888888888888797</v>
      </c>
      <c r="N24">
        <v>0.266666666666666</v>
      </c>
      <c r="O24">
        <v>0.844444444444444</v>
      </c>
      <c r="P24">
        <v>0.81111111111111101</v>
      </c>
      <c r="Q24">
        <v>0.38888888888888801</v>
      </c>
      <c r="R24">
        <v>0.36666666666666597</v>
      </c>
      <c r="S24">
        <v>0.81111111111111101</v>
      </c>
      <c r="T24">
        <v>0.66666666666666596</v>
      </c>
      <c r="U24">
        <v>0.38888888888888801</v>
      </c>
      <c r="V24">
        <v>0.36666666666666597</v>
      </c>
      <c r="W24">
        <v>3.8777777777777703E-2</v>
      </c>
      <c r="X24">
        <v>0.70122222222222197</v>
      </c>
      <c r="Y24">
        <v>6.6666666666666596E-2</v>
      </c>
      <c r="Z24">
        <v>9.2796072713833694E-2</v>
      </c>
      <c r="AA24">
        <v>0.26509956200978102</v>
      </c>
      <c r="AB24">
        <v>0.24037008503093199</v>
      </c>
      <c r="AC24">
        <v>0.133333333333333</v>
      </c>
      <c r="AD24">
        <v>9.2796072713833694E-2</v>
      </c>
      <c r="AE24">
        <v>0.348010216963685</v>
      </c>
      <c r="AF24">
        <v>0.30413812651491101</v>
      </c>
      <c r="AG24">
        <v>0.11303883305208701</v>
      </c>
      <c r="AH24">
        <v>9.2796072713833694E-2</v>
      </c>
      <c r="AI24">
        <v>0.43429380735984602</v>
      </c>
      <c r="AJ24">
        <v>0.40311288741492701</v>
      </c>
      <c r="AK24">
        <v>0.28480012484391698</v>
      </c>
      <c r="AL24">
        <v>0.111803398874989</v>
      </c>
      <c r="AM24">
        <v>0.43429380735984602</v>
      </c>
      <c r="AN24">
        <v>0.40311288741492701</v>
      </c>
      <c r="AO24">
        <v>0.43641315796438102</v>
      </c>
      <c r="AP24">
        <v>0.14044285116888</v>
      </c>
      <c r="AQ24">
        <v>0.88888888888888795</v>
      </c>
      <c r="AR24">
        <v>0.1</v>
      </c>
      <c r="AS24">
        <v>0.83333333333333304</v>
      </c>
      <c r="AT24">
        <v>0.27777777777777701</v>
      </c>
      <c r="AU24">
        <v>0.16666666666666599</v>
      </c>
      <c r="AV24">
        <v>0.93333333333333302</v>
      </c>
      <c r="AW24">
        <v>0.153</v>
      </c>
      <c r="AX24">
        <v>0.53355555555555501</v>
      </c>
      <c r="AY24">
        <v>9.2796072713833694E-2</v>
      </c>
      <c r="AZ24">
        <v>8.6602540378443796E-2</v>
      </c>
      <c r="BA24">
        <v>4.9999999999999899E-2</v>
      </c>
      <c r="BB24">
        <v>0.17873008824605999</v>
      </c>
      <c r="BC24">
        <v>0.20615528128088301</v>
      </c>
      <c r="BD24">
        <v>4.9999999999999899E-2</v>
      </c>
      <c r="BE24">
        <v>8.0908899386903002E-2</v>
      </c>
      <c r="BF24">
        <v>5.1492987656357403E-2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9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2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8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4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3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14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2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3</v>
      </c>
      <c r="MA24">
        <v>1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2</v>
      </c>
      <c r="MH24">
        <v>0</v>
      </c>
      <c r="MI24">
        <v>0</v>
      </c>
      <c r="MJ24">
        <v>2</v>
      </c>
      <c r="MK24">
        <v>0</v>
      </c>
      <c r="ML24">
        <v>0</v>
      </c>
      <c r="MM24">
        <v>0</v>
      </c>
      <c r="MN24">
        <v>0</v>
      </c>
      <c r="MO24">
        <v>2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1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0.11111111111111099</v>
      </c>
      <c r="NW24">
        <v>0</v>
      </c>
      <c r="NX24">
        <v>0.33333333333333298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0.22222222222222199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0.22222222222222199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0.22222222222222199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0.88888888888888795</v>
      </c>
      <c r="RE24">
        <v>0</v>
      </c>
      <c r="RF24">
        <v>0</v>
      </c>
      <c r="RG24">
        <v>0.22222222222222199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0.44444444444444398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0.33333333333333298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1.55555555555555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0.22222222222222199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0.33333333333333298</v>
      </c>
      <c r="XN24">
        <v>0.11111111111111099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0.22222222222222199</v>
      </c>
      <c r="XU24">
        <v>0</v>
      </c>
      <c r="XV24">
        <v>0</v>
      </c>
      <c r="XW24">
        <v>0.22222222222222199</v>
      </c>
      <c r="XX24">
        <v>0</v>
      </c>
      <c r="XY24">
        <v>0</v>
      </c>
      <c r="XZ24">
        <v>0</v>
      </c>
      <c r="YA24">
        <v>0</v>
      </c>
      <c r="YB24">
        <v>0.22222222222222199</v>
      </c>
      <c r="YC24">
        <v>0</v>
      </c>
      <c r="YD24">
        <v>0</v>
      </c>
      <c r="YE24">
        <v>0</v>
      </c>
      <c r="YF24">
        <v>0</v>
      </c>
    </row>
    <row r="25" spans="1:656" x14ac:dyDescent="0.2">
      <c r="A25" t="s">
        <v>706</v>
      </c>
      <c r="B25" t="s">
        <v>707</v>
      </c>
      <c r="D25" t="s">
        <v>708</v>
      </c>
      <c r="E25" t="s">
        <v>660</v>
      </c>
      <c r="F25">
        <v>1</v>
      </c>
      <c r="G25">
        <v>0.9</v>
      </c>
      <c r="H25">
        <v>0.8</v>
      </c>
      <c r="I25">
        <v>0.1</v>
      </c>
      <c r="J25">
        <v>0.1</v>
      </c>
      <c r="K25">
        <v>1</v>
      </c>
      <c r="L25">
        <v>0.7</v>
      </c>
      <c r="M25">
        <v>0.1</v>
      </c>
      <c r="N25">
        <v>0.1</v>
      </c>
      <c r="O25">
        <v>0.9</v>
      </c>
      <c r="P25">
        <v>0.8</v>
      </c>
      <c r="Q25">
        <v>0.1</v>
      </c>
      <c r="R25">
        <v>0.1</v>
      </c>
      <c r="S25">
        <v>1</v>
      </c>
      <c r="T25">
        <v>0.7</v>
      </c>
      <c r="U25">
        <v>0.1</v>
      </c>
      <c r="V25">
        <v>0.1</v>
      </c>
      <c r="W25">
        <v>-0.27200000000000002</v>
      </c>
      <c r="X25">
        <v>0.60099999999999998</v>
      </c>
      <c r="AQ25">
        <v>0.9</v>
      </c>
      <c r="AR25">
        <v>0.1</v>
      </c>
      <c r="AS25">
        <v>0.8</v>
      </c>
      <c r="AT25">
        <v>0.2</v>
      </c>
      <c r="AU25">
        <v>0.1</v>
      </c>
      <c r="AV25">
        <v>0.9</v>
      </c>
      <c r="AW25">
        <v>0.15</v>
      </c>
      <c r="AX25">
        <v>0.53200000000000003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2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4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4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2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4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4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2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</row>
    <row r="26" spans="1:656" x14ac:dyDescent="0.2">
      <c r="A26" t="s">
        <v>709</v>
      </c>
      <c r="D26" t="s">
        <v>668</v>
      </c>
      <c r="E26" t="s">
        <v>660</v>
      </c>
      <c r="F26">
        <v>2</v>
      </c>
      <c r="G26">
        <v>0.65</v>
      </c>
      <c r="H26">
        <v>0.55000000000000004</v>
      </c>
      <c r="I26">
        <v>0.45</v>
      </c>
      <c r="J26">
        <v>0.15</v>
      </c>
      <c r="K26">
        <v>0.65</v>
      </c>
      <c r="L26">
        <v>0.44999999999999901</v>
      </c>
      <c r="M26">
        <v>0.5</v>
      </c>
      <c r="N26">
        <v>0.15</v>
      </c>
      <c r="O26">
        <v>0.65</v>
      </c>
      <c r="P26">
        <v>0.55000000000000004</v>
      </c>
      <c r="Q26">
        <v>0.5</v>
      </c>
      <c r="R26">
        <v>0.15</v>
      </c>
      <c r="S26">
        <v>0.65</v>
      </c>
      <c r="T26">
        <v>0.44999999999999901</v>
      </c>
      <c r="U26">
        <v>0.5</v>
      </c>
      <c r="V26">
        <v>0.15</v>
      </c>
      <c r="W26">
        <v>-0.495</v>
      </c>
      <c r="X26">
        <v>0.52949999999999997</v>
      </c>
      <c r="Y26">
        <v>0.35355339059327301</v>
      </c>
      <c r="Z26">
        <v>0.35355339059327301</v>
      </c>
      <c r="AA26">
        <v>0.49497474683058301</v>
      </c>
      <c r="AB26">
        <v>7.0710678118654696E-2</v>
      </c>
      <c r="AC26">
        <v>0.49497474683058301</v>
      </c>
      <c r="AD26">
        <v>0.35355339059327301</v>
      </c>
      <c r="AE26">
        <v>0.56568542494923801</v>
      </c>
      <c r="AF26">
        <v>7.0710678118654696E-2</v>
      </c>
      <c r="AG26">
        <v>0.35355339059327301</v>
      </c>
      <c r="AH26">
        <v>0.35355339059327301</v>
      </c>
      <c r="AI26">
        <v>0.56568542494923801</v>
      </c>
      <c r="AJ26">
        <v>7.0710678118654696E-2</v>
      </c>
      <c r="AK26">
        <v>0.49497474683058301</v>
      </c>
      <c r="AL26">
        <v>0.35355339059327301</v>
      </c>
      <c r="AM26">
        <v>0.56568542494923801</v>
      </c>
      <c r="AN26">
        <v>7.0710678118654696E-2</v>
      </c>
      <c r="AO26">
        <v>0.31536962440920002</v>
      </c>
      <c r="AP26">
        <v>0.10111626970967599</v>
      </c>
      <c r="AQ26">
        <v>0.6</v>
      </c>
      <c r="AR26">
        <v>0.45</v>
      </c>
      <c r="AS26">
        <v>0.5</v>
      </c>
      <c r="AT26">
        <v>0.55000000000000004</v>
      </c>
      <c r="AU26">
        <v>0.1</v>
      </c>
      <c r="AV26">
        <v>0.9</v>
      </c>
      <c r="AW26">
        <v>-0.21249999999999999</v>
      </c>
      <c r="AX26">
        <v>0.30149999999999999</v>
      </c>
      <c r="AY26">
        <v>0.42426406871192801</v>
      </c>
      <c r="AZ26">
        <v>0.49497474683058301</v>
      </c>
      <c r="BA26">
        <v>0.28284271247461901</v>
      </c>
      <c r="BB26">
        <v>0.49497474683058301</v>
      </c>
      <c r="BC26">
        <v>0</v>
      </c>
      <c r="BD26">
        <v>0</v>
      </c>
      <c r="BE26">
        <v>0.460326514552442</v>
      </c>
      <c r="BF26">
        <v>0.29203510063004401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5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1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2.5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</row>
    <row r="27" spans="1:656" x14ac:dyDescent="0.2">
      <c r="A27" t="s">
        <v>710</v>
      </c>
      <c r="B27" t="s">
        <v>711</v>
      </c>
      <c r="D27" t="s">
        <v>668</v>
      </c>
      <c r="E27" t="s">
        <v>660</v>
      </c>
      <c r="F27">
        <v>1</v>
      </c>
      <c r="G27">
        <v>0.9</v>
      </c>
      <c r="H27">
        <v>0.9</v>
      </c>
      <c r="I27">
        <v>0.6</v>
      </c>
      <c r="J27">
        <v>0.6</v>
      </c>
      <c r="K27">
        <v>1</v>
      </c>
      <c r="L27">
        <v>0.8</v>
      </c>
      <c r="M27">
        <v>0.9</v>
      </c>
      <c r="N27">
        <v>0.8</v>
      </c>
      <c r="O27">
        <v>0.9</v>
      </c>
      <c r="P27">
        <v>0.8</v>
      </c>
      <c r="Q27">
        <v>1</v>
      </c>
      <c r="R27">
        <v>1</v>
      </c>
      <c r="S27">
        <v>0.5</v>
      </c>
      <c r="T27">
        <v>0.6</v>
      </c>
      <c r="U27">
        <v>1</v>
      </c>
      <c r="V27">
        <v>1</v>
      </c>
      <c r="W27">
        <v>0.93</v>
      </c>
      <c r="X27">
        <v>0.98799999999999999</v>
      </c>
      <c r="AQ27">
        <v>0.9</v>
      </c>
      <c r="AR27">
        <v>0.1</v>
      </c>
      <c r="AS27">
        <v>0.8</v>
      </c>
      <c r="AT27">
        <v>0.4</v>
      </c>
      <c r="AU27">
        <v>0.1</v>
      </c>
      <c r="AV27">
        <v>1</v>
      </c>
      <c r="AW27">
        <v>6.3E-2</v>
      </c>
      <c r="AX27">
        <v>0.47599999999999998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5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2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5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2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2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</row>
    <row r="28" spans="1:656" x14ac:dyDescent="0.2">
      <c r="A28" t="s">
        <v>712</v>
      </c>
      <c r="B28" t="s">
        <v>713</v>
      </c>
      <c r="C28" t="s">
        <v>667</v>
      </c>
      <c r="D28" t="s">
        <v>714</v>
      </c>
      <c r="E28" t="s">
        <v>660</v>
      </c>
      <c r="F28">
        <v>2</v>
      </c>
      <c r="G28">
        <v>0.9</v>
      </c>
      <c r="H28">
        <v>0.85</v>
      </c>
      <c r="I28">
        <v>0.1</v>
      </c>
      <c r="J28">
        <v>0.1</v>
      </c>
      <c r="K28">
        <v>0.95</v>
      </c>
      <c r="L28">
        <v>0.75</v>
      </c>
      <c r="M28">
        <v>0.15</v>
      </c>
      <c r="N28">
        <v>0.15</v>
      </c>
      <c r="O28">
        <v>0.9</v>
      </c>
      <c r="P28">
        <v>0.85</v>
      </c>
      <c r="Q28">
        <v>0.1</v>
      </c>
      <c r="R28">
        <v>0.1</v>
      </c>
      <c r="S28">
        <v>0.95</v>
      </c>
      <c r="T28">
        <v>0.75</v>
      </c>
      <c r="U28">
        <v>0.15</v>
      </c>
      <c r="V28">
        <v>0.15</v>
      </c>
      <c r="W28">
        <v>-0.1875</v>
      </c>
      <c r="X28">
        <v>0.629</v>
      </c>
      <c r="Y28">
        <v>0</v>
      </c>
      <c r="Z28">
        <v>7.0710678118654696E-2</v>
      </c>
      <c r="AA28">
        <v>0</v>
      </c>
      <c r="AB28">
        <v>0</v>
      </c>
      <c r="AC28">
        <v>7.0710678118654696E-2</v>
      </c>
      <c r="AD28">
        <v>7.0710678118654793E-2</v>
      </c>
      <c r="AE28">
        <v>7.0710678118654696E-2</v>
      </c>
      <c r="AF28">
        <v>7.0710678118654696E-2</v>
      </c>
      <c r="AG28">
        <v>0</v>
      </c>
      <c r="AH28">
        <v>7.0710678118654696E-2</v>
      </c>
      <c r="AI28">
        <v>0</v>
      </c>
      <c r="AJ28">
        <v>0</v>
      </c>
      <c r="AK28">
        <v>7.0710678118654696E-2</v>
      </c>
      <c r="AL28">
        <v>7.0710678118654793E-2</v>
      </c>
      <c r="AM28">
        <v>7.0710678118654696E-2</v>
      </c>
      <c r="AN28">
        <v>7.0710678118654696E-2</v>
      </c>
      <c r="AO28">
        <v>5.3033008588991001E-2</v>
      </c>
      <c r="AP28">
        <v>1.6970562748477101E-2</v>
      </c>
      <c r="AQ28">
        <v>0.95</v>
      </c>
      <c r="AR28">
        <v>0.05</v>
      </c>
      <c r="AS28">
        <v>0.85</v>
      </c>
      <c r="AT28">
        <v>0.1</v>
      </c>
      <c r="AU28">
        <v>0.2</v>
      </c>
      <c r="AV28">
        <v>0.95</v>
      </c>
      <c r="AW28">
        <v>0.23749999999999999</v>
      </c>
      <c r="AX28">
        <v>0.58699999999999997</v>
      </c>
      <c r="AY28">
        <v>7.0710678118654696E-2</v>
      </c>
      <c r="AZ28">
        <v>7.0710678118654696E-2</v>
      </c>
      <c r="BA28">
        <v>7.0710678118654696E-2</v>
      </c>
      <c r="BB28">
        <v>0</v>
      </c>
      <c r="BC28">
        <v>0.141421356237309</v>
      </c>
      <c r="BD28">
        <v>7.0710678118654696E-2</v>
      </c>
      <c r="BE28">
        <v>1.7677669529663601E-2</v>
      </c>
      <c r="BF28">
        <v>1.1313708498984699E-2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4</v>
      </c>
      <c r="IA28">
        <v>2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4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4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2</v>
      </c>
      <c r="TN28">
        <v>1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2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2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</row>
    <row r="29" spans="1:656" x14ac:dyDescent="0.2">
      <c r="A29" t="s">
        <v>715</v>
      </c>
      <c r="D29" t="s">
        <v>674</v>
      </c>
      <c r="E29" t="s">
        <v>660</v>
      </c>
      <c r="F29">
        <v>2</v>
      </c>
      <c r="G29">
        <v>0.9</v>
      </c>
      <c r="H29">
        <v>0.65</v>
      </c>
      <c r="I29">
        <v>0.15</v>
      </c>
      <c r="J29">
        <v>0.15</v>
      </c>
      <c r="K29">
        <v>0.95</v>
      </c>
      <c r="L29">
        <v>0.6</v>
      </c>
      <c r="M29">
        <v>0.2</v>
      </c>
      <c r="N29">
        <v>0.2</v>
      </c>
      <c r="O29">
        <v>0.8</v>
      </c>
      <c r="P29">
        <v>0.64999999999999902</v>
      </c>
      <c r="Q29">
        <v>0.75</v>
      </c>
      <c r="R29">
        <v>0.7</v>
      </c>
      <c r="S29">
        <v>0.55000000000000004</v>
      </c>
      <c r="T29">
        <v>0.5</v>
      </c>
      <c r="U29">
        <v>0.7</v>
      </c>
      <c r="V29">
        <v>0.7</v>
      </c>
      <c r="W29">
        <v>7.0999999999999994E-2</v>
      </c>
      <c r="X29">
        <v>0.71150000000000002</v>
      </c>
      <c r="Y29">
        <v>0</v>
      </c>
      <c r="Z29">
        <v>0.21213203435596401</v>
      </c>
      <c r="AA29">
        <v>7.0710678118654696E-2</v>
      </c>
      <c r="AB29">
        <v>7.0710678118654696E-2</v>
      </c>
      <c r="AC29">
        <v>7.0710678118654696E-2</v>
      </c>
      <c r="AD29">
        <v>0.141421356237309</v>
      </c>
      <c r="AE29">
        <v>0.141421356237309</v>
      </c>
      <c r="AF29">
        <v>0.141421356237309</v>
      </c>
      <c r="AG29">
        <v>0</v>
      </c>
      <c r="AH29">
        <v>7.0710678118654696E-2</v>
      </c>
      <c r="AI29">
        <v>0.21213203435596401</v>
      </c>
      <c r="AJ29">
        <v>0.141421356237309</v>
      </c>
      <c r="AK29">
        <v>0.35355339059327301</v>
      </c>
      <c r="AL29">
        <v>0.141421356237309</v>
      </c>
      <c r="AM29">
        <v>0.28284271247461901</v>
      </c>
      <c r="AN29">
        <v>0.28284271247461901</v>
      </c>
      <c r="AO29">
        <v>0.26304372260139502</v>
      </c>
      <c r="AP29">
        <v>8.4145706961199093E-2</v>
      </c>
      <c r="AQ29">
        <v>0.85</v>
      </c>
      <c r="AR29">
        <v>0.15</v>
      </c>
      <c r="AS29">
        <v>0.9</v>
      </c>
      <c r="AT29">
        <v>0.3</v>
      </c>
      <c r="AU29">
        <v>0.2</v>
      </c>
      <c r="AV29">
        <v>0.85</v>
      </c>
      <c r="AW29">
        <v>0.19400000000000001</v>
      </c>
      <c r="AX29">
        <v>0.5595</v>
      </c>
      <c r="AY29">
        <v>7.0710678118654696E-2</v>
      </c>
      <c r="AZ29">
        <v>7.0710678118654696E-2</v>
      </c>
      <c r="BA29">
        <v>0</v>
      </c>
      <c r="BB29">
        <v>0.141421356237309</v>
      </c>
      <c r="BC29">
        <v>0</v>
      </c>
      <c r="BD29">
        <v>7.0710678118654696E-2</v>
      </c>
      <c r="BE29">
        <v>4.3840620433565902E-2</v>
      </c>
      <c r="BF29">
        <v>2.7577164466275301E-2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3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5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2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1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0.5</v>
      </c>
      <c r="OL29">
        <v>0</v>
      </c>
      <c r="OM29">
        <v>0</v>
      </c>
      <c r="ON29">
        <v>0</v>
      </c>
      <c r="OO29">
        <v>0.5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1.5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1.5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2.5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1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</row>
    <row r="30" spans="1:656" x14ac:dyDescent="0.2">
      <c r="A30" t="s">
        <v>716</v>
      </c>
      <c r="B30" t="s">
        <v>717</v>
      </c>
      <c r="C30" t="s">
        <v>667</v>
      </c>
      <c r="D30" t="s">
        <v>659</v>
      </c>
      <c r="E30" t="s">
        <v>660</v>
      </c>
      <c r="F30">
        <v>9</v>
      </c>
      <c r="G30">
        <v>0.844444444444444</v>
      </c>
      <c r="H30">
        <v>0.7</v>
      </c>
      <c r="I30">
        <v>0.25555555555555498</v>
      </c>
      <c r="J30">
        <v>0.17777777777777701</v>
      </c>
      <c r="K30">
        <v>0.87777777777777699</v>
      </c>
      <c r="L30">
        <v>0.61111111111111105</v>
      </c>
      <c r="M30">
        <v>0.28888888888888797</v>
      </c>
      <c r="N30">
        <v>0.2</v>
      </c>
      <c r="O30">
        <v>0.82222222222222197</v>
      </c>
      <c r="P30">
        <v>0.66666666666666596</v>
      </c>
      <c r="Q30">
        <v>0.36666666666666597</v>
      </c>
      <c r="R30">
        <v>0.27777777777777701</v>
      </c>
      <c r="S30">
        <v>0.76666666666666605</v>
      </c>
      <c r="T30">
        <v>0.54444444444444395</v>
      </c>
      <c r="U30">
        <v>0.37777777777777699</v>
      </c>
      <c r="V30">
        <v>0.28888888888888797</v>
      </c>
      <c r="W30">
        <v>-0.225333333333333</v>
      </c>
      <c r="X30">
        <v>0.61633333333333296</v>
      </c>
      <c r="Y30">
        <v>0.16666666666666599</v>
      </c>
      <c r="Z30">
        <v>0.19999999999999901</v>
      </c>
      <c r="AA30">
        <v>0.30867098629086798</v>
      </c>
      <c r="AB30">
        <v>0.19860625479688301</v>
      </c>
      <c r="AC30">
        <v>0.227913238852955</v>
      </c>
      <c r="AD30">
        <v>0.18333333333333299</v>
      </c>
      <c r="AE30">
        <v>0.348010216963685</v>
      </c>
      <c r="AF30">
        <v>0.229128784747792</v>
      </c>
      <c r="AG30">
        <v>0.16414763002993499</v>
      </c>
      <c r="AH30">
        <v>0.21213203435596401</v>
      </c>
      <c r="AI30">
        <v>0.40311288741492701</v>
      </c>
      <c r="AJ30">
        <v>0.33458099833141203</v>
      </c>
      <c r="AK30">
        <v>0.35355339059327301</v>
      </c>
      <c r="AL30">
        <v>0.20069324297987101</v>
      </c>
      <c r="AM30">
        <v>0.417665469538055</v>
      </c>
      <c r="AN30">
        <v>0.35158371849548298</v>
      </c>
      <c r="AO30">
        <v>0.44377359092221702</v>
      </c>
      <c r="AP30">
        <v>0.14284869617885901</v>
      </c>
      <c r="AQ30">
        <v>0.8</v>
      </c>
      <c r="AR30">
        <v>0.2</v>
      </c>
      <c r="AS30">
        <v>0.74444444444444402</v>
      </c>
      <c r="AT30">
        <v>0.32222222222222202</v>
      </c>
      <c r="AU30">
        <v>0.11111111111111099</v>
      </c>
      <c r="AV30">
        <v>0.83333333333333304</v>
      </c>
      <c r="AW30">
        <v>7.7777777777777696E-2</v>
      </c>
      <c r="AX30">
        <v>0.48599999999999999</v>
      </c>
      <c r="AY30">
        <v>0.229128784747791</v>
      </c>
      <c r="AZ30">
        <v>0.26457513110645903</v>
      </c>
      <c r="BA30">
        <v>0.14240006242195799</v>
      </c>
      <c r="BB30">
        <v>0.227913238852955</v>
      </c>
      <c r="BC30">
        <v>3.3333333333333298E-2</v>
      </c>
      <c r="BD30">
        <v>0.20615528128088301</v>
      </c>
      <c r="BE30">
        <v>0.25333859643655599</v>
      </c>
      <c r="BF30">
        <v>0.16104890561565399</v>
      </c>
      <c r="BG30">
        <v>10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3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</v>
      </c>
      <c r="DV30">
        <v>0</v>
      </c>
      <c r="DW30">
        <v>0</v>
      </c>
      <c r="DX30">
        <v>0</v>
      </c>
      <c r="DY30">
        <v>13</v>
      </c>
      <c r="DZ30">
        <v>0</v>
      </c>
      <c r="EA30">
        <v>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11</v>
      </c>
      <c r="HO30">
        <v>4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3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3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3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1.1111111111111101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0.44444444444444398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0.33333333333333298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0.22222222222222199</v>
      </c>
      <c r="PI30">
        <v>0</v>
      </c>
      <c r="PJ30">
        <v>0</v>
      </c>
      <c r="PK30">
        <v>0</v>
      </c>
      <c r="PL30">
        <v>1.44444444444444</v>
      </c>
      <c r="PM30">
        <v>0</v>
      </c>
      <c r="PN30">
        <v>0.22222222222222199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0.22222222222222199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0.11111111111111099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1.2222222222222201</v>
      </c>
      <c r="TB30">
        <v>0.44444444444444398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0.33333333333333298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0.33333333333333298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0.33333333333333298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</row>
    <row r="31" spans="1:656" x14ac:dyDescent="0.2">
      <c r="A31" t="s">
        <v>718</v>
      </c>
      <c r="B31" t="s">
        <v>719</v>
      </c>
      <c r="C31" t="s">
        <v>678</v>
      </c>
      <c r="D31" t="s">
        <v>674</v>
      </c>
      <c r="E31" t="s">
        <v>660</v>
      </c>
      <c r="F31">
        <v>3</v>
      </c>
      <c r="G31">
        <v>0.9</v>
      </c>
      <c r="H31">
        <v>0.83333333333333304</v>
      </c>
      <c r="I31">
        <v>0.3</v>
      </c>
      <c r="J31">
        <v>0.3</v>
      </c>
      <c r="K31">
        <v>0.96666666666666601</v>
      </c>
      <c r="L31">
        <v>0.73333333333333295</v>
      </c>
      <c r="M31">
        <v>0.63333333333333297</v>
      </c>
      <c r="N31">
        <v>0.56666666666666599</v>
      </c>
      <c r="O31">
        <v>0.86666666666666603</v>
      </c>
      <c r="P31">
        <v>0.76666666666666605</v>
      </c>
      <c r="Q31">
        <v>0.66666666666666596</v>
      </c>
      <c r="R31">
        <v>0.63333333333333297</v>
      </c>
      <c r="S31">
        <v>0.56666666666666599</v>
      </c>
      <c r="T31">
        <v>0.53333333333333299</v>
      </c>
      <c r="U31">
        <v>0.66666666666666596</v>
      </c>
      <c r="V31">
        <v>0.63333333333333297</v>
      </c>
      <c r="W31">
        <v>0.31900000000000001</v>
      </c>
      <c r="X31">
        <v>0.791333333333333</v>
      </c>
      <c r="Y31">
        <v>0</v>
      </c>
      <c r="Z31">
        <v>5.7735026918962498E-2</v>
      </c>
      <c r="AA31">
        <v>0.26457513110645903</v>
      </c>
      <c r="AB31">
        <v>0.26457513110645903</v>
      </c>
      <c r="AC31">
        <v>5.7735026918962498E-2</v>
      </c>
      <c r="AD31">
        <v>5.7735026918962602E-2</v>
      </c>
      <c r="AE31">
        <v>0.46188021535169999</v>
      </c>
      <c r="AF31">
        <v>0.404145188432738</v>
      </c>
      <c r="AG31">
        <v>5.7735026918962498E-2</v>
      </c>
      <c r="AH31">
        <v>5.7735026918962602E-2</v>
      </c>
      <c r="AI31">
        <v>0.49328828623162402</v>
      </c>
      <c r="AJ31">
        <v>0.47258156262526002</v>
      </c>
      <c r="AK31">
        <v>0.404145188432738</v>
      </c>
      <c r="AL31">
        <v>0.20816659994661299</v>
      </c>
      <c r="AM31">
        <v>0.49328828623162402</v>
      </c>
      <c r="AN31">
        <v>0.47258156262526002</v>
      </c>
      <c r="AO31">
        <v>0.60124953222434996</v>
      </c>
      <c r="AP31">
        <v>0.19357771910355101</v>
      </c>
      <c r="AQ31">
        <v>0.9</v>
      </c>
      <c r="AR31">
        <v>0.1</v>
      </c>
      <c r="AS31">
        <v>0.8</v>
      </c>
      <c r="AT31">
        <v>0.33333333333333298</v>
      </c>
      <c r="AU31">
        <v>0.1</v>
      </c>
      <c r="AV31">
        <v>0.96666666666666601</v>
      </c>
      <c r="AW31">
        <v>9.1999999999999998E-2</v>
      </c>
      <c r="AX31">
        <v>0.49466666666666598</v>
      </c>
      <c r="AY31">
        <v>0</v>
      </c>
      <c r="AZ31">
        <v>0</v>
      </c>
      <c r="BA31">
        <v>0</v>
      </c>
      <c r="BB31">
        <v>0.115470053837925</v>
      </c>
      <c r="BC31">
        <v>0</v>
      </c>
      <c r="BD31">
        <v>5.7735026918962498E-2</v>
      </c>
      <c r="BE31">
        <v>5.0229473419497399E-2</v>
      </c>
      <c r="BF31">
        <v>3.2331615074619E-2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3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5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4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4</v>
      </c>
      <c r="MI31">
        <v>2</v>
      </c>
      <c r="MJ31">
        <v>3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0.33333333333333298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1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0.33333333333333298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1.6666666666666601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1.3333333333333299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1.3333333333333299</v>
      </c>
      <c r="XV31">
        <v>0.66666666666666596</v>
      </c>
      <c r="XW31">
        <v>1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</row>
    <row r="32" spans="1:656" x14ac:dyDescent="0.2">
      <c r="A32" t="s">
        <v>720</v>
      </c>
      <c r="B32" t="s">
        <v>719</v>
      </c>
      <c r="C32" t="s">
        <v>678</v>
      </c>
      <c r="D32" t="s">
        <v>664</v>
      </c>
      <c r="E32" t="s">
        <v>660</v>
      </c>
      <c r="F32">
        <v>1</v>
      </c>
      <c r="G32">
        <v>0.9</v>
      </c>
      <c r="H32">
        <v>0.8</v>
      </c>
      <c r="I32">
        <v>0.1</v>
      </c>
      <c r="J32">
        <v>0.1</v>
      </c>
      <c r="K32">
        <v>1</v>
      </c>
      <c r="L32">
        <v>0.7</v>
      </c>
      <c r="M32">
        <v>0.1</v>
      </c>
      <c r="N32">
        <v>0.1</v>
      </c>
      <c r="O32">
        <v>0.9</v>
      </c>
      <c r="P32">
        <v>0.8</v>
      </c>
      <c r="Q32">
        <v>0.1</v>
      </c>
      <c r="R32">
        <v>0.1</v>
      </c>
      <c r="S32">
        <v>1</v>
      </c>
      <c r="T32">
        <v>0.7</v>
      </c>
      <c r="U32">
        <v>0.1</v>
      </c>
      <c r="V32">
        <v>0.1</v>
      </c>
      <c r="W32">
        <v>-0.27200000000000002</v>
      </c>
      <c r="X32">
        <v>0.60099999999999998</v>
      </c>
      <c r="AQ32">
        <v>0.9</v>
      </c>
      <c r="AR32">
        <v>0.1</v>
      </c>
      <c r="AS32">
        <v>0.8</v>
      </c>
      <c r="AT32">
        <v>0.2</v>
      </c>
      <c r="AU32">
        <v>0.1</v>
      </c>
      <c r="AV32">
        <v>0.9</v>
      </c>
      <c r="AW32">
        <v>0.15</v>
      </c>
      <c r="AX32">
        <v>0.53200000000000003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3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2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2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2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3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2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2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</row>
    <row r="33" spans="1:656" x14ac:dyDescent="0.2">
      <c r="A33" t="s">
        <v>721</v>
      </c>
      <c r="B33" t="s">
        <v>722</v>
      </c>
      <c r="D33" t="s">
        <v>714</v>
      </c>
      <c r="E33" t="s">
        <v>660</v>
      </c>
      <c r="F33">
        <v>3</v>
      </c>
      <c r="G33">
        <v>0.86666666666666603</v>
      </c>
      <c r="H33">
        <v>0.79999999999999905</v>
      </c>
      <c r="I33">
        <v>0.39999999999999902</v>
      </c>
      <c r="J33">
        <v>0.39999999999999902</v>
      </c>
      <c r="K33">
        <v>0.9</v>
      </c>
      <c r="L33">
        <v>0.73333333333333295</v>
      </c>
      <c r="M33">
        <v>0.39999999999999902</v>
      </c>
      <c r="N33">
        <v>0.39999999999999902</v>
      </c>
      <c r="O33">
        <v>0.86666666666666603</v>
      </c>
      <c r="P33">
        <v>0.79999999999999905</v>
      </c>
      <c r="Q33">
        <v>0.46666666666666601</v>
      </c>
      <c r="R33">
        <v>0.46666666666666601</v>
      </c>
      <c r="S33">
        <v>0.86666666666666603</v>
      </c>
      <c r="T33">
        <v>0.76666666666666605</v>
      </c>
      <c r="U33">
        <v>0.46666666666666601</v>
      </c>
      <c r="V33">
        <v>0.46666666666666601</v>
      </c>
      <c r="W33">
        <v>0.27733333333333299</v>
      </c>
      <c r="X33">
        <v>0.77833333333333299</v>
      </c>
      <c r="Y33">
        <v>5.7735026918962498E-2</v>
      </c>
      <c r="Z33">
        <v>0.1</v>
      </c>
      <c r="AA33">
        <v>0.435889894354067</v>
      </c>
      <c r="AB33">
        <v>0.435889894354067</v>
      </c>
      <c r="AC33">
        <v>0.17320508075688701</v>
      </c>
      <c r="AD33">
        <v>0.115470053837925</v>
      </c>
      <c r="AE33">
        <v>0.435889894354067</v>
      </c>
      <c r="AF33">
        <v>0.435889894354067</v>
      </c>
      <c r="AG33">
        <v>5.7735026918962498E-2</v>
      </c>
      <c r="AH33">
        <v>0.1</v>
      </c>
      <c r="AI33">
        <v>0.47258156262526002</v>
      </c>
      <c r="AJ33">
        <v>0.47258156262526002</v>
      </c>
      <c r="AK33">
        <v>0.23094010767584999</v>
      </c>
      <c r="AL33">
        <v>5.7735026918962602E-2</v>
      </c>
      <c r="AM33">
        <v>0.47258156262526002</v>
      </c>
      <c r="AN33">
        <v>0.47258156262526002</v>
      </c>
      <c r="AO33">
        <v>0.55903607516271503</v>
      </c>
      <c r="AP33">
        <v>0.17991757372011499</v>
      </c>
      <c r="AQ33">
        <v>0.93333333333333302</v>
      </c>
      <c r="AR33">
        <v>6.6666666666666596E-2</v>
      </c>
      <c r="AS33">
        <v>0.9</v>
      </c>
      <c r="AT33">
        <v>0.133333333333333</v>
      </c>
      <c r="AU33">
        <v>0.66666666666666596</v>
      </c>
      <c r="AV33">
        <v>0.4</v>
      </c>
      <c r="AW33">
        <v>0.621</v>
      </c>
      <c r="AX33">
        <v>0.830666666666666</v>
      </c>
      <c r="AY33">
        <v>5.7735026918962498E-2</v>
      </c>
      <c r="AZ33">
        <v>5.7735026918962498E-2</v>
      </c>
      <c r="BA33">
        <v>9.9999999999999895E-2</v>
      </c>
      <c r="BB33">
        <v>5.7735026918962498E-2</v>
      </c>
      <c r="BC33">
        <v>0.49328828623162402</v>
      </c>
      <c r="BD33">
        <v>0.51961524227066302</v>
      </c>
      <c r="BE33">
        <v>0.34981852438085598</v>
      </c>
      <c r="BF33">
        <v>0.22224835957399799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2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10</v>
      </c>
      <c r="JL33">
        <v>18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3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0.33333333333333298</v>
      </c>
      <c r="NC33">
        <v>0.33333333333333298</v>
      </c>
      <c r="ND33">
        <v>0.33333333333333298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2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0.33333333333333298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0.66666666666666596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3.3333333333333299</v>
      </c>
      <c r="UY33">
        <v>6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1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</row>
    <row r="34" spans="1:656" x14ac:dyDescent="0.2">
      <c r="A34" t="s">
        <v>723</v>
      </c>
      <c r="B34" t="s">
        <v>724</v>
      </c>
      <c r="C34" t="s">
        <v>725</v>
      </c>
      <c r="D34" t="s">
        <v>659</v>
      </c>
      <c r="E34" t="s">
        <v>660</v>
      </c>
      <c r="F34">
        <v>2</v>
      </c>
      <c r="G34">
        <v>0.9</v>
      </c>
      <c r="H34">
        <v>0.8</v>
      </c>
      <c r="I34">
        <v>0.25</v>
      </c>
      <c r="J34">
        <v>0.25</v>
      </c>
      <c r="K34">
        <v>0.95</v>
      </c>
      <c r="L34">
        <v>0.7</v>
      </c>
      <c r="M34">
        <v>0.5</v>
      </c>
      <c r="N34">
        <v>0.45</v>
      </c>
      <c r="O34">
        <v>0.85</v>
      </c>
      <c r="P34">
        <v>0.75</v>
      </c>
      <c r="Q34">
        <v>0.55000000000000004</v>
      </c>
      <c r="R34">
        <v>0.55000000000000004</v>
      </c>
      <c r="S34">
        <v>0.7</v>
      </c>
      <c r="T34">
        <v>0.6</v>
      </c>
      <c r="U34">
        <v>0.55000000000000004</v>
      </c>
      <c r="V34">
        <v>0.55000000000000004</v>
      </c>
      <c r="W34">
        <v>0.20349999999999999</v>
      </c>
      <c r="X34">
        <v>0.754</v>
      </c>
      <c r="Y34">
        <v>0</v>
      </c>
      <c r="Z34">
        <v>0</v>
      </c>
      <c r="AA34">
        <v>0.21213203435596401</v>
      </c>
      <c r="AB34">
        <v>0.21213203435596401</v>
      </c>
      <c r="AC34">
        <v>7.0710678118654696E-2</v>
      </c>
      <c r="AD34">
        <v>0</v>
      </c>
      <c r="AE34">
        <v>0.56568542494923801</v>
      </c>
      <c r="AF34">
        <v>0.49497474683058301</v>
      </c>
      <c r="AG34">
        <v>7.0710678118654696E-2</v>
      </c>
      <c r="AH34">
        <v>7.0710678118654793E-2</v>
      </c>
      <c r="AI34">
        <v>0.63639610306789196</v>
      </c>
      <c r="AJ34">
        <v>0.63639610306789196</v>
      </c>
      <c r="AK34">
        <v>0.42426406871192801</v>
      </c>
      <c r="AL34">
        <v>0.141421356237309</v>
      </c>
      <c r="AM34">
        <v>0.63639610306789196</v>
      </c>
      <c r="AN34">
        <v>0.63639610306789196</v>
      </c>
      <c r="AO34">
        <v>0.67245854890840595</v>
      </c>
      <c r="AP34">
        <v>0.216374675043083</v>
      </c>
      <c r="AQ34">
        <v>0.9</v>
      </c>
      <c r="AR34">
        <v>0.1</v>
      </c>
      <c r="AS34">
        <v>0.75</v>
      </c>
      <c r="AT34">
        <v>0.25</v>
      </c>
      <c r="AU34">
        <v>0.3</v>
      </c>
      <c r="AV34">
        <v>0.9</v>
      </c>
      <c r="AW34">
        <v>0.19400000000000001</v>
      </c>
      <c r="AX34">
        <v>0.5595</v>
      </c>
      <c r="AY34">
        <v>0</v>
      </c>
      <c r="AZ34">
        <v>0</v>
      </c>
      <c r="BA34">
        <v>0.21213203435596401</v>
      </c>
      <c r="BB34">
        <v>0.21213203435596401</v>
      </c>
      <c r="BC34">
        <v>0.141421356237309</v>
      </c>
      <c r="BD34">
        <v>0.141421356237309</v>
      </c>
      <c r="BE34">
        <v>7.9195959492893306E-2</v>
      </c>
      <c r="BF34">
        <v>5.02045814642448E-2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2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2</v>
      </c>
      <c r="JP34">
        <v>0</v>
      </c>
      <c r="JQ34">
        <v>0</v>
      </c>
      <c r="JR34">
        <v>0</v>
      </c>
      <c r="JS34">
        <v>0</v>
      </c>
      <c r="JT34">
        <v>3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1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1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1</v>
      </c>
      <c r="VC34">
        <v>0</v>
      </c>
      <c r="VD34">
        <v>0</v>
      </c>
      <c r="VE34">
        <v>0</v>
      </c>
      <c r="VF34">
        <v>0</v>
      </c>
      <c r="VG34">
        <v>1.5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0.5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</row>
    <row r="35" spans="1:656" x14ac:dyDescent="0.2">
      <c r="A35" t="s">
        <v>726</v>
      </c>
      <c r="B35" t="s">
        <v>707</v>
      </c>
      <c r="D35" t="s">
        <v>702</v>
      </c>
      <c r="E35" t="s">
        <v>660</v>
      </c>
      <c r="F35">
        <v>5</v>
      </c>
      <c r="G35">
        <v>0.9</v>
      </c>
      <c r="H35">
        <v>0.68</v>
      </c>
      <c r="I35">
        <v>0.2</v>
      </c>
      <c r="J35">
        <v>0.28000000000000003</v>
      </c>
      <c r="K35">
        <v>0.94</v>
      </c>
      <c r="L35">
        <v>0.6</v>
      </c>
      <c r="M35">
        <v>0.18</v>
      </c>
      <c r="N35">
        <v>0.34</v>
      </c>
      <c r="O35">
        <v>0.88</v>
      </c>
      <c r="P35">
        <v>0.7</v>
      </c>
      <c r="Q35">
        <v>0.2</v>
      </c>
      <c r="R35">
        <v>0.2</v>
      </c>
      <c r="S35">
        <v>0.86</v>
      </c>
      <c r="T35">
        <v>0.57999999999999996</v>
      </c>
      <c r="U35">
        <v>0.22</v>
      </c>
      <c r="V35">
        <v>0.2</v>
      </c>
      <c r="W35">
        <v>-0.253</v>
      </c>
      <c r="X35">
        <v>0.60739999999999905</v>
      </c>
      <c r="Y35">
        <v>0</v>
      </c>
      <c r="Z35">
        <v>0.268328157299974</v>
      </c>
      <c r="AA35">
        <v>0.141421356237309</v>
      </c>
      <c r="AB35">
        <v>0.30331501776206199</v>
      </c>
      <c r="AC35">
        <v>5.4772255750516599E-2</v>
      </c>
      <c r="AD35">
        <v>0.22360679774997799</v>
      </c>
      <c r="AE35">
        <v>0.17888543819998301</v>
      </c>
      <c r="AF35">
        <v>0.35777087639996602</v>
      </c>
      <c r="AG35">
        <v>4.4721359549995697E-2</v>
      </c>
      <c r="AH35">
        <v>0.22360679774997799</v>
      </c>
      <c r="AI35">
        <v>0.22360679774997799</v>
      </c>
      <c r="AJ35">
        <v>0.22360679774997799</v>
      </c>
      <c r="AK35">
        <v>0.26076809620810598</v>
      </c>
      <c r="AL35">
        <v>0.17888543819998301</v>
      </c>
      <c r="AM35">
        <v>0.268328157299974</v>
      </c>
      <c r="AN35">
        <v>0.22360679774997799</v>
      </c>
      <c r="AO35">
        <v>0.28445210493156797</v>
      </c>
      <c r="AP35">
        <v>9.1251301360583306E-2</v>
      </c>
      <c r="AQ35">
        <v>0.91999999999999904</v>
      </c>
      <c r="AR35">
        <v>0.1</v>
      </c>
      <c r="AS35">
        <v>0.74</v>
      </c>
      <c r="AT35">
        <v>0.16</v>
      </c>
      <c r="AU35">
        <v>0.54</v>
      </c>
      <c r="AV35">
        <v>0.44</v>
      </c>
      <c r="AW35">
        <v>0.48039999999999999</v>
      </c>
      <c r="AX35">
        <v>0.74119999999999997</v>
      </c>
      <c r="AY35">
        <v>4.4721359549995697E-2</v>
      </c>
      <c r="AZ35">
        <v>0</v>
      </c>
      <c r="BA35">
        <v>5.4772255750516599E-2</v>
      </c>
      <c r="BB35">
        <v>5.4772255750516599E-2</v>
      </c>
      <c r="BC35">
        <v>0.270185121722125</v>
      </c>
      <c r="BD35">
        <v>0.320936130717624</v>
      </c>
      <c r="BE35">
        <v>0.24122354777259999</v>
      </c>
      <c r="BF35">
        <v>0.153260236199739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2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3</v>
      </c>
      <c r="IY35">
        <v>0</v>
      </c>
      <c r="IZ35">
        <v>0</v>
      </c>
      <c r="JA35">
        <v>0</v>
      </c>
      <c r="JB35">
        <v>3</v>
      </c>
      <c r="JC35">
        <v>2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2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0.4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0.6</v>
      </c>
      <c r="UL35">
        <v>0</v>
      </c>
      <c r="UM35">
        <v>0</v>
      </c>
      <c r="UN35">
        <v>0</v>
      </c>
      <c r="UO35">
        <v>0.6</v>
      </c>
      <c r="UP35">
        <v>0.4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0.4</v>
      </c>
    </row>
    <row r="36" spans="1:656" x14ac:dyDescent="0.2">
      <c r="A36" t="s">
        <v>727</v>
      </c>
      <c r="D36" t="s">
        <v>664</v>
      </c>
      <c r="E36" t="s">
        <v>660</v>
      </c>
      <c r="F36">
        <v>3</v>
      </c>
      <c r="G36">
        <v>0.9</v>
      </c>
      <c r="H36">
        <v>0.8</v>
      </c>
      <c r="I36">
        <v>0.1</v>
      </c>
      <c r="J36">
        <v>0.1</v>
      </c>
      <c r="K36">
        <v>0.9</v>
      </c>
      <c r="L36">
        <v>0.69999999999999896</v>
      </c>
      <c r="M36">
        <v>0.1</v>
      </c>
      <c r="N36">
        <v>0.1</v>
      </c>
      <c r="O36">
        <v>0.9</v>
      </c>
      <c r="P36">
        <v>0.8</v>
      </c>
      <c r="Q36">
        <v>0.1</v>
      </c>
      <c r="R36">
        <v>0.1</v>
      </c>
      <c r="S36">
        <v>0.9</v>
      </c>
      <c r="T36">
        <v>0.69999999999999896</v>
      </c>
      <c r="U36">
        <v>0.1</v>
      </c>
      <c r="V36">
        <v>0.1</v>
      </c>
      <c r="W36">
        <v>-0.317</v>
      </c>
      <c r="X36">
        <v>0.58699999999999997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0.9</v>
      </c>
      <c r="AR36">
        <v>0.1</v>
      </c>
      <c r="AS36">
        <v>0.83333333333333304</v>
      </c>
      <c r="AT36">
        <v>0.1</v>
      </c>
      <c r="AU36">
        <v>0.66666666666666596</v>
      </c>
      <c r="AV36">
        <v>0.33333333333333298</v>
      </c>
      <c r="AW36">
        <v>0.61266666666666603</v>
      </c>
      <c r="AX36">
        <v>0.82533333333333303</v>
      </c>
      <c r="AY36">
        <v>0</v>
      </c>
      <c r="AZ36">
        <v>0</v>
      </c>
      <c r="BA36">
        <v>5.7735026918962498E-2</v>
      </c>
      <c r="BB36">
        <v>0</v>
      </c>
      <c r="BC36">
        <v>5.7735026918962498E-2</v>
      </c>
      <c r="BD36">
        <v>5.7735026918962602E-2</v>
      </c>
      <c r="BE36">
        <v>2.1361959960016101E-2</v>
      </c>
      <c r="BF36">
        <v>1.3279056191361299E-2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5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0.66666666666666596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0.66666666666666596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1.6666666666666601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0.33333333333333298</v>
      </c>
      <c r="YB36">
        <v>0</v>
      </c>
      <c r="YC36">
        <v>0</v>
      </c>
      <c r="YD36">
        <v>0</v>
      </c>
      <c r="YE36">
        <v>0</v>
      </c>
      <c r="YF36">
        <v>0</v>
      </c>
    </row>
    <row r="37" spans="1:656" x14ac:dyDescent="0.2">
      <c r="A37" t="s">
        <v>728</v>
      </c>
      <c r="D37" t="s">
        <v>659</v>
      </c>
      <c r="E37" t="s">
        <v>660</v>
      </c>
      <c r="F37">
        <v>2</v>
      </c>
      <c r="G37">
        <v>0.7</v>
      </c>
      <c r="H37">
        <v>0.6</v>
      </c>
      <c r="I37">
        <v>0.3</v>
      </c>
      <c r="J37">
        <v>0.25</v>
      </c>
      <c r="K37">
        <v>0.8</v>
      </c>
      <c r="L37">
        <v>0.55000000000000004</v>
      </c>
      <c r="M37">
        <v>0.2</v>
      </c>
      <c r="N37">
        <v>0.25</v>
      </c>
      <c r="O37">
        <v>0.6</v>
      </c>
      <c r="P37">
        <v>0.9</v>
      </c>
      <c r="Q37">
        <v>0.55000000000000004</v>
      </c>
      <c r="R37">
        <v>0.45</v>
      </c>
      <c r="S37">
        <v>0.65</v>
      </c>
      <c r="T37">
        <v>0.55000000000000004</v>
      </c>
      <c r="U37">
        <v>0.55000000000000004</v>
      </c>
      <c r="V37">
        <v>0.45</v>
      </c>
      <c r="W37">
        <v>-0.1</v>
      </c>
      <c r="X37">
        <v>0.65700000000000003</v>
      </c>
      <c r="Y37">
        <v>0.28284271247461901</v>
      </c>
      <c r="Z37">
        <v>0.42426406871192801</v>
      </c>
      <c r="AA37">
        <v>0.28284271247461901</v>
      </c>
      <c r="AB37">
        <v>0.21213203435596401</v>
      </c>
      <c r="AC37">
        <v>0.28284271247461901</v>
      </c>
      <c r="AD37">
        <v>0.35355339059327301</v>
      </c>
      <c r="AE37">
        <v>0.141421356237309</v>
      </c>
      <c r="AF37">
        <v>0.21213203435596401</v>
      </c>
      <c r="AG37">
        <v>0.42426406871192801</v>
      </c>
      <c r="AH37">
        <v>0</v>
      </c>
      <c r="AI37">
        <v>0.63639610306789196</v>
      </c>
      <c r="AJ37">
        <v>0.49497474683058301</v>
      </c>
      <c r="AK37">
        <v>0.49497474683058301</v>
      </c>
      <c r="AL37">
        <v>0.35355339059327301</v>
      </c>
      <c r="AM37">
        <v>0.63639610306789196</v>
      </c>
      <c r="AN37">
        <v>0.49497474683058301</v>
      </c>
      <c r="AO37">
        <v>7.0710678118654696E-2</v>
      </c>
      <c r="AP37">
        <v>2.26274169979695E-2</v>
      </c>
      <c r="AQ37">
        <v>0.8</v>
      </c>
      <c r="AR37">
        <v>0.35</v>
      </c>
      <c r="AS37">
        <v>0.4</v>
      </c>
      <c r="AT37">
        <v>0.55000000000000004</v>
      </c>
      <c r="AU37">
        <v>0.25</v>
      </c>
      <c r="AV37">
        <v>0.95</v>
      </c>
      <c r="AW37">
        <v>-0.13800000000000001</v>
      </c>
      <c r="AX37">
        <v>0.34949999999999998</v>
      </c>
      <c r="AY37">
        <v>0.28284271247461901</v>
      </c>
      <c r="AZ37">
        <v>0.49497474683058301</v>
      </c>
      <c r="BA37">
        <v>0</v>
      </c>
      <c r="BB37">
        <v>0.35355339059327301</v>
      </c>
      <c r="BC37">
        <v>0.21213203435596401</v>
      </c>
      <c r="BD37">
        <v>7.0710678118654696E-2</v>
      </c>
      <c r="BE37">
        <v>0.17677669529663601</v>
      </c>
      <c r="BF37">
        <v>0.11242997820866101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4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1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0.5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2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</row>
    <row r="38" spans="1:656" x14ac:dyDescent="0.2">
      <c r="A38" t="s">
        <v>729</v>
      </c>
      <c r="B38" t="s">
        <v>730</v>
      </c>
      <c r="C38" t="s">
        <v>725</v>
      </c>
      <c r="D38" t="s">
        <v>659</v>
      </c>
      <c r="E38" t="s">
        <v>660</v>
      </c>
      <c r="F38">
        <v>1</v>
      </c>
      <c r="G38">
        <v>0.9</v>
      </c>
      <c r="H38">
        <v>0.9</v>
      </c>
      <c r="I38">
        <v>0.1</v>
      </c>
      <c r="J38">
        <v>0.1</v>
      </c>
      <c r="K38">
        <v>1</v>
      </c>
      <c r="L38">
        <v>0.8</v>
      </c>
      <c r="M38">
        <v>0.1</v>
      </c>
      <c r="N38">
        <v>0.1</v>
      </c>
      <c r="O38">
        <v>0.9</v>
      </c>
      <c r="P38">
        <v>0.9</v>
      </c>
      <c r="Q38">
        <v>0.1</v>
      </c>
      <c r="R38">
        <v>0.1</v>
      </c>
      <c r="S38">
        <v>1</v>
      </c>
      <c r="T38">
        <v>0.8</v>
      </c>
      <c r="U38">
        <v>0.1</v>
      </c>
      <c r="V38">
        <v>0.1</v>
      </c>
      <c r="W38">
        <v>-0.15</v>
      </c>
      <c r="X38">
        <v>0.64100000000000001</v>
      </c>
      <c r="AQ38">
        <v>1</v>
      </c>
      <c r="AR38">
        <v>0</v>
      </c>
      <c r="AS38">
        <v>0.9</v>
      </c>
      <c r="AT38">
        <v>0.1</v>
      </c>
      <c r="AU38">
        <v>0</v>
      </c>
      <c r="AV38">
        <v>1</v>
      </c>
      <c r="AW38">
        <v>0.188</v>
      </c>
      <c r="AX38">
        <v>0.55600000000000005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3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</row>
    <row r="39" spans="1:656" x14ac:dyDescent="0.2">
      <c r="A39" t="s">
        <v>731</v>
      </c>
      <c r="D39" t="s">
        <v>732</v>
      </c>
      <c r="E39" t="s">
        <v>733</v>
      </c>
      <c r="F39">
        <v>8</v>
      </c>
      <c r="G39">
        <v>0.9</v>
      </c>
      <c r="H39">
        <v>0.8</v>
      </c>
      <c r="I39">
        <v>0.1</v>
      </c>
      <c r="J39">
        <v>0.1</v>
      </c>
      <c r="K39">
        <v>0.9</v>
      </c>
      <c r="L39">
        <v>0.7</v>
      </c>
      <c r="M39">
        <v>0.1</v>
      </c>
      <c r="N39">
        <v>0.1</v>
      </c>
      <c r="O39">
        <v>0.9</v>
      </c>
      <c r="P39">
        <v>0.8</v>
      </c>
      <c r="Q39">
        <v>0.1</v>
      </c>
      <c r="R39">
        <v>0.1</v>
      </c>
      <c r="S39">
        <v>0.9</v>
      </c>
      <c r="T39">
        <v>0.7</v>
      </c>
      <c r="U39">
        <v>0.1</v>
      </c>
      <c r="V39">
        <v>0.1</v>
      </c>
      <c r="W39">
        <v>-0.317</v>
      </c>
      <c r="X39">
        <v>0.58699999999999997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0.9</v>
      </c>
      <c r="AR39">
        <v>0.1</v>
      </c>
      <c r="AS39">
        <v>0.8</v>
      </c>
      <c r="AT39">
        <v>0.1</v>
      </c>
      <c r="AU39">
        <v>0.78749999999999998</v>
      </c>
      <c r="AV39">
        <v>0.21249999999999999</v>
      </c>
      <c r="AW39">
        <v>0.69062499999999905</v>
      </c>
      <c r="AX39">
        <v>0.875</v>
      </c>
      <c r="AY39">
        <v>0</v>
      </c>
      <c r="AZ39">
        <v>0</v>
      </c>
      <c r="BA39">
        <v>0</v>
      </c>
      <c r="BB39">
        <v>0</v>
      </c>
      <c r="BC39">
        <v>3.5355339059327397E-2</v>
      </c>
      <c r="BD39">
        <v>3.53553390593273E-2</v>
      </c>
      <c r="BE39">
        <v>2.6516504294495501E-2</v>
      </c>
      <c r="BF39">
        <v>1.6970562748477101E-2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22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3</v>
      </c>
      <c r="IY39">
        <v>0</v>
      </c>
      <c r="IZ39">
        <v>0</v>
      </c>
      <c r="JA39">
        <v>0</v>
      </c>
      <c r="JB39">
        <v>6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2.75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0.25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0.375</v>
      </c>
      <c r="UL39">
        <v>0</v>
      </c>
      <c r="UM39">
        <v>0</v>
      </c>
      <c r="UN39">
        <v>0</v>
      </c>
      <c r="UO39">
        <v>0.75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</row>
    <row r="40" spans="1:656" x14ac:dyDescent="0.2">
      <c r="A40" t="s">
        <v>734</v>
      </c>
      <c r="D40" t="s">
        <v>708</v>
      </c>
      <c r="E40" t="s">
        <v>660</v>
      </c>
      <c r="F40">
        <v>1</v>
      </c>
      <c r="G40">
        <v>0.9</v>
      </c>
      <c r="H40">
        <v>0.5</v>
      </c>
      <c r="I40">
        <v>0.1</v>
      </c>
      <c r="J40">
        <v>0.1</v>
      </c>
      <c r="K40">
        <v>0.9</v>
      </c>
      <c r="L40">
        <v>0.5</v>
      </c>
      <c r="M40">
        <v>0.1</v>
      </c>
      <c r="N40">
        <v>0.1</v>
      </c>
      <c r="O40">
        <v>0.7</v>
      </c>
      <c r="P40">
        <v>0.6</v>
      </c>
      <c r="Q40">
        <v>0.7</v>
      </c>
      <c r="R40">
        <v>0.6</v>
      </c>
      <c r="S40">
        <v>0.6</v>
      </c>
      <c r="T40">
        <v>0.7</v>
      </c>
      <c r="U40">
        <v>0.8</v>
      </c>
      <c r="V40">
        <v>0.7</v>
      </c>
      <c r="W40">
        <v>1.7000000000000001E-2</v>
      </c>
      <c r="X40">
        <v>0.69399999999999995</v>
      </c>
      <c r="AQ40">
        <v>0.8</v>
      </c>
      <c r="AR40">
        <v>0.2</v>
      </c>
      <c r="AS40">
        <v>0.7</v>
      </c>
      <c r="AT40">
        <v>0.6</v>
      </c>
      <c r="AU40">
        <v>0.4</v>
      </c>
      <c r="AV40">
        <v>0.9</v>
      </c>
      <c r="AW40">
        <v>7.4999999999999997E-2</v>
      </c>
      <c r="AX40">
        <v>0.48399999999999999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6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4</v>
      </c>
      <c r="IA40">
        <v>3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6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4</v>
      </c>
      <c r="TN40">
        <v>3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</row>
    <row r="41" spans="1:656" x14ac:dyDescent="0.2">
      <c r="A41" t="s">
        <v>735</v>
      </c>
      <c r="D41" t="s">
        <v>736</v>
      </c>
      <c r="E41" t="s">
        <v>733</v>
      </c>
      <c r="F41">
        <v>2</v>
      </c>
      <c r="G41">
        <v>0.9</v>
      </c>
      <c r="H41">
        <v>0.85</v>
      </c>
      <c r="I41">
        <v>0.1</v>
      </c>
      <c r="J41">
        <v>0.1</v>
      </c>
      <c r="K41">
        <v>0.95</v>
      </c>
      <c r="L41">
        <v>0.75</v>
      </c>
      <c r="M41">
        <v>0.1</v>
      </c>
      <c r="N41">
        <v>0.1</v>
      </c>
      <c r="O41">
        <v>0.9</v>
      </c>
      <c r="P41">
        <v>0.85</v>
      </c>
      <c r="Q41">
        <v>0.1</v>
      </c>
      <c r="R41">
        <v>0.1</v>
      </c>
      <c r="S41">
        <v>0.95</v>
      </c>
      <c r="T41">
        <v>0.75</v>
      </c>
      <c r="U41">
        <v>0.1</v>
      </c>
      <c r="V41">
        <v>0.1</v>
      </c>
      <c r="W41">
        <v>-0.23349999999999899</v>
      </c>
      <c r="X41">
        <v>0.61399999999999999</v>
      </c>
      <c r="Y41">
        <v>0</v>
      </c>
      <c r="Z41">
        <v>7.0710678118654696E-2</v>
      </c>
      <c r="AA41">
        <v>0</v>
      </c>
      <c r="AB41">
        <v>0</v>
      </c>
      <c r="AC41">
        <v>7.0710678118654696E-2</v>
      </c>
      <c r="AD41">
        <v>7.0710678118654793E-2</v>
      </c>
      <c r="AE41">
        <v>0</v>
      </c>
      <c r="AF41">
        <v>0</v>
      </c>
      <c r="AG41">
        <v>0</v>
      </c>
      <c r="AH41">
        <v>7.0710678118654696E-2</v>
      </c>
      <c r="AI41">
        <v>0</v>
      </c>
      <c r="AJ41">
        <v>0</v>
      </c>
      <c r="AK41">
        <v>7.0710678118654696E-2</v>
      </c>
      <c r="AL41">
        <v>7.0710678118654793E-2</v>
      </c>
      <c r="AM41">
        <v>0</v>
      </c>
      <c r="AN41">
        <v>0</v>
      </c>
      <c r="AO41">
        <v>0.118086832458153</v>
      </c>
      <c r="AP41">
        <v>3.8183766184073598E-2</v>
      </c>
      <c r="AQ41">
        <v>0.9</v>
      </c>
      <c r="AR41">
        <v>0.1</v>
      </c>
      <c r="AS41">
        <v>0.9</v>
      </c>
      <c r="AT41">
        <v>0.1</v>
      </c>
      <c r="AU41">
        <v>0.65</v>
      </c>
      <c r="AV41">
        <v>0.5</v>
      </c>
      <c r="AW41">
        <v>0.56899999999999995</v>
      </c>
      <c r="AX41">
        <v>0.79749999999999999</v>
      </c>
      <c r="AY41">
        <v>0</v>
      </c>
      <c r="AZ41">
        <v>0</v>
      </c>
      <c r="BA41">
        <v>0.141421356237309</v>
      </c>
      <c r="BB41">
        <v>0</v>
      </c>
      <c r="BC41">
        <v>0.21213203435596401</v>
      </c>
      <c r="BD41">
        <v>0.42426406871192801</v>
      </c>
      <c r="BE41">
        <v>0.18526197667087499</v>
      </c>
      <c r="BF41">
        <v>0.118086832458153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5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4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2.5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2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</row>
    <row r="42" spans="1:656" x14ac:dyDescent="0.2">
      <c r="A42" t="s">
        <v>737</v>
      </c>
      <c r="B42" t="s">
        <v>738</v>
      </c>
      <c r="C42" t="s">
        <v>678</v>
      </c>
      <c r="D42" t="s">
        <v>674</v>
      </c>
      <c r="E42" t="s">
        <v>660</v>
      </c>
      <c r="F42">
        <v>1</v>
      </c>
      <c r="G42">
        <v>0.9</v>
      </c>
      <c r="H42">
        <v>0.8</v>
      </c>
      <c r="I42">
        <v>0.1</v>
      </c>
      <c r="J42">
        <v>0.1</v>
      </c>
      <c r="K42">
        <v>1</v>
      </c>
      <c r="L42">
        <v>0.7</v>
      </c>
      <c r="M42">
        <v>0.1</v>
      </c>
      <c r="N42">
        <v>0.1</v>
      </c>
      <c r="O42">
        <v>0.9</v>
      </c>
      <c r="P42">
        <v>0.8</v>
      </c>
      <c r="Q42">
        <v>0.1</v>
      </c>
      <c r="R42">
        <v>0.1</v>
      </c>
      <c r="S42">
        <v>1</v>
      </c>
      <c r="T42">
        <v>0.7</v>
      </c>
      <c r="U42">
        <v>0.1</v>
      </c>
      <c r="V42">
        <v>0.1</v>
      </c>
      <c r="W42">
        <v>-0.27200000000000002</v>
      </c>
      <c r="X42">
        <v>0.60099999999999998</v>
      </c>
      <c r="AQ42">
        <v>0.9</v>
      </c>
      <c r="AR42">
        <v>0.1</v>
      </c>
      <c r="AS42">
        <v>0.8</v>
      </c>
      <c r="AT42">
        <v>0.2</v>
      </c>
      <c r="AU42">
        <v>0.1</v>
      </c>
      <c r="AV42">
        <v>0.9</v>
      </c>
      <c r="AW42">
        <v>0.15</v>
      </c>
      <c r="AX42">
        <v>0.53200000000000003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2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2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</row>
    <row r="43" spans="1:656" x14ac:dyDescent="0.2">
      <c r="A43" t="s">
        <v>739</v>
      </c>
      <c r="B43" t="s">
        <v>740</v>
      </c>
      <c r="C43" t="s">
        <v>671</v>
      </c>
      <c r="D43" t="s">
        <v>741</v>
      </c>
      <c r="E43" t="s">
        <v>660</v>
      </c>
      <c r="F43">
        <v>2</v>
      </c>
      <c r="G43">
        <v>0.65</v>
      </c>
      <c r="H43">
        <v>0.44999999999999901</v>
      </c>
      <c r="I43">
        <v>0.44999999999999901</v>
      </c>
      <c r="J43">
        <v>0.2</v>
      </c>
      <c r="K43">
        <v>0.6</v>
      </c>
      <c r="L43">
        <v>0.35</v>
      </c>
      <c r="M43">
        <v>0.45</v>
      </c>
      <c r="N43">
        <v>0.15</v>
      </c>
      <c r="O43">
        <v>0.65</v>
      </c>
      <c r="P43">
        <v>0.44999999999999901</v>
      </c>
      <c r="Q43">
        <v>0.45</v>
      </c>
      <c r="R43">
        <v>0.15</v>
      </c>
      <c r="S43">
        <v>0.6</v>
      </c>
      <c r="T43">
        <v>0.35</v>
      </c>
      <c r="U43">
        <v>0.45</v>
      </c>
      <c r="V43">
        <v>0.15</v>
      </c>
      <c r="W43">
        <v>-0.66100000000000003</v>
      </c>
      <c r="X43">
        <v>0.47599999999999998</v>
      </c>
      <c r="Y43">
        <v>0.35355339059327301</v>
      </c>
      <c r="Z43">
        <v>0.21213203435596401</v>
      </c>
      <c r="AA43">
        <v>0.35355339059327301</v>
      </c>
      <c r="AB43">
        <v>0</v>
      </c>
      <c r="AC43">
        <v>0.42426406871192801</v>
      </c>
      <c r="AD43">
        <v>0.21213203435596401</v>
      </c>
      <c r="AE43">
        <v>0.49497474683058301</v>
      </c>
      <c r="AF43">
        <v>7.0710678118654696E-2</v>
      </c>
      <c r="AG43">
        <v>0.35355339059327301</v>
      </c>
      <c r="AH43">
        <v>0.21213203435596401</v>
      </c>
      <c r="AI43">
        <v>0.49497474683058301</v>
      </c>
      <c r="AJ43">
        <v>7.0710678118654696E-2</v>
      </c>
      <c r="AK43">
        <v>0.42426406871192801</v>
      </c>
      <c r="AL43">
        <v>0.21213203435596401</v>
      </c>
      <c r="AM43">
        <v>0.49497474683058301</v>
      </c>
      <c r="AN43">
        <v>7.0710678118654696E-2</v>
      </c>
      <c r="AO43">
        <v>0.18384776310850201</v>
      </c>
      <c r="AP43">
        <v>5.9396969619669997E-2</v>
      </c>
      <c r="AQ43">
        <v>0.6</v>
      </c>
      <c r="AR43">
        <v>0.45</v>
      </c>
      <c r="AS43">
        <v>0.7</v>
      </c>
      <c r="AT43">
        <v>0.5</v>
      </c>
      <c r="AU43">
        <v>0.2</v>
      </c>
      <c r="AV43">
        <v>0.9</v>
      </c>
      <c r="AW43">
        <v>-8.7499999999999994E-2</v>
      </c>
      <c r="AX43">
        <v>0.38100000000000001</v>
      </c>
      <c r="AY43">
        <v>0.42426406871192801</v>
      </c>
      <c r="AZ43">
        <v>0.49497474683058301</v>
      </c>
      <c r="BA43">
        <v>0.28284271247461901</v>
      </c>
      <c r="BB43">
        <v>0.42426406871192801</v>
      </c>
      <c r="BC43">
        <v>0.141421356237309</v>
      </c>
      <c r="BD43">
        <v>0.141421356237309</v>
      </c>
      <c r="BE43">
        <v>0.54800775541957403</v>
      </c>
      <c r="BF43">
        <v>0.34789653634378098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2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9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5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5</v>
      </c>
      <c r="MH43">
        <v>0</v>
      </c>
      <c r="MI43">
        <v>0</v>
      </c>
      <c r="MJ43">
        <v>4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0.5</v>
      </c>
      <c r="OL43">
        <v>1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4.5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2.5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0.5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2.5</v>
      </c>
      <c r="XU43">
        <v>0</v>
      </c>
      <c r="XV43">
        <v>0</v>
      </c>
      <c r="XW43">
        <v>2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</row>
    <row r="44" spans="1:656" x14ac:dyDescent="0.2">
      <c r="A44" t="s">
        <v>742</v>
      </c>
      <c r="D44" t="s">
        <v>664</v>
      </c>
      <c r="E44" t="s">
        <v>660</v>
      </c>
      <c r="F44">
        <v>4</v>
      </c>
      <c r="G44">
        <v>0.4</v>
      </c>
      <c r="H44">
        <v>0.3</v>
      </c>
      <c r="I44">
        <v>0.8</v>
      </c>
      <c r="J44">
        <v>0.2</v>
      </c>
      <c r="K44">
        <v>0.3</v>
      </c>
      <c r="L44">
        <v>0.2</v>
      </c>
      <c r="M44">
        <v>0.9</v>
      </c>
      <c r="N44">
        <v>0.2</v>
      </c>
      <c r="O44">
        <v>0.4</v>
      </c>
      <c r="P44">
        <v>0.3</v>
      </c>
      <c r="Q44">
        <v>0.9</v>
      </c>
      <c r="R44">
        <v>0.2</v>
      </c>
      <c r="S44">
        <v>0.3</v>
      </c>
      <c r="T44">
        <v>0.2</v>
      </c>
      <c r="U44">
        <v>0.9</v>
      </c>
      <c r="V44">
        <v>0.2</v>
      </c>
      <c r="W44">
        <v>-0.71799999999999997</v>
      </c>
      <c r="X44">
        <v>0.45800000000000002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0.2</v>
      </c>
      <c r="AR44">
        <v>0.9</v>
      </c>
      <c r="AS44">
        <v>0.375</v>
      </c>
      <c r="AT44">
        <v>0.9</v>
      </c>
      <c r="AU44">
        <v>0.15</v>
      </c>
      <c r="AV44">
        <v>0.9</v>
      </c>
      <c r="AW44">
        <v>-0.54074999999999995</v>
      </c>
      <c r="AX44">
        <v>9.2999999999999999E-2</v>
      </c>
      <c r="AY44">
        <v>0</v>
      </c>
      <c r="AZ44">
        <v>0</v>
      </c>
      <c r="BA44">
        <v>0.05</v>
      </c>
      <c r="BB44">
        <v>0</v>
      </c>
      <c r="BC44">
        <v>5.7735026918962498E-2</v>
      </c>
      <c r="BD44">
        <v>0</v>
      </c>
      <c r="BE44">
        <v>1.8499999999999999E-2</v>
      </c>
      <c r="BF44">
        <v>1.2E-2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3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6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2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0.25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2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0.75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1.5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0.5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2.5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0.5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</row>
    <row r="45" spans="1:656" x14ac:dyDescent="0.2">
      <c r="A45" t="s">
        <v>743</v>
      </c>
      <c r="B45" t="s">
        <v>744</v>
      </c>
      <c r="C45" t="s">
        <v>667</v>
      </c>
      <c r="D45" t="s">
        <v>668</v>
      </c>
      <c r="E45" t="s">
        <v>660</v>
      </c>
      <c r="F45">
        <v>5</v>
      </c>
      <c r="G45">
        <v>0.64</v>
      </c>
      <c r="H45">
        <v>0.54</v>
      </c>
      <c r="I45">
        <v>0.4</v>
      </c>
      <c r="J45">
        <v>0.18</v>
      </c>
      <c r="K45">
        <v>0.6</v>
      </c>
      <c r="L45">
        <v>0.42</v>
      </c>
      <c r="M45">
        <v>0.5</v>
      </c>
      <c r="N45">
        <v>0.24</v>
      </c>
      <c r="O45">
        <v>0.65999999999999903</v>
      </c>
      <c r="P45">
        <v>0.55999999999999905</v>
      </c>
      <c r="Q45">
        <v>0.52</v>
      </c>
      <c r="R45">
        <v>0.26</v>
      </c>
      <c r="S45">
        <v>0.57999999999999996</v>
      </c>
      <c r="T45">
        <v>0.44</v>
      </c>
      <c r="U45">
        <v>0.52</v>
      </c>
      <c r="V45">
        <v>0.26</v>
      </c>
      <c r="W45">
        <v>-0.44180000000000003</v>
      </c>
      <c r="X45">
        <v>0.5464</v>
      </c>
      <c r="Y45">
        <v>0.25099800796022198</v>
      </c>
      <c r="Z45">
        <v>0.25099800796022198</v>
      </c>
      <c r="AA45">
        <v>0.3</v>
      </c>
      <c r="AB45">
        <v>8.3666002653407498E-2</v>
      </c>
      <c r="AC45">
        <v>0.367423461417476</v>
      </c>
      <c r="AD45">
        <v>0.25884358211089498</v>
      </c>
      <c r="AE45">
        <v>0.367423461417476</v>
      </c>
      <c r="AF45">
        <v>0.207364413533277</v>
      </c>
      <c r="AG45">
        <v>0.25099800796022198</v>
      </c>
      <c r="AH45">
        <v>0.25099800796022198</v>
      </c>
      <c r="AI45">
        <v>0.38340579025361599</v>
      </c>
      <c r="AJ45">
        <v>0.25099800796022198</v>
      </c>
      <c r="AK45">
        <v>0.38340579025361599</v>
      </c>
      <c r="AL45">
        <v>0.25099800796022198</v>
      </c>
      <c r="AM45">
        <v>0.38340579025361599</v>
      </c>
      <c r="AN45">
        <v>0.25099800796022198</v>
      </c>
      <c r="AO45">
        <v>0.32797972498311501</v>
      </c>
      <c r="AP45">
        <v>0.105585510369557</v>
      </c>
      <c r="AQ45">
        <v>0.54</v>
      </c>
      <c r="AR45">
        <v>0.52</v>
      </c>
      <c r="AS45">
        <v>0.56000000000000005</v>
      </c>
      <c r="AT45">
        <v>0.6</v>
      </c>
      <c r="AU45">
        <v>0.12</v>
      </c>
      <c r="AV45">
        <v>0.9</v>
      </c>
      <c r="AW45">
        <v>-0.227599999999999</v>
      </c>
      <c r="AX45">
        <v>0.29220000000000002</v>
      </c>
      <c r="AY45">
        <v>0.32863353450309901</v>
      </c>
      <c r="AZ45">
        <v>0.38340579025361599</v>
      </c>
      <c r="BA45">
        <v>0.21908902300206601</v>
      </c>
      <c r="BB45">
        <v>0.367423461417476</v>
      </c>
      <c r="BC45">
        <v>4.4721359549995801E-2</v>
      </c>
      <c r="BD45">
        <v>0</v>
      </c>
      <c r="BE45">
        <v>0.34562812385568298</v>
      </c>
      <c r="BF45">
        <v>0.21951469199121901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4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6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4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0.2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0.4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0.8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1.2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0.8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</row>
    <row r="46" spans="1:656" x14ac:dyDescent="0.2">
      <c r="A46" t="s">
        <v>745</v>
      </c>
      <c r="D46" t="s">
        <v>746</v>
      </c>
      <c r="E46" t="s">
        <v>747</v>
      </c>
      <c r="F46">
        <v>1</v>
      </c>
      <c r="G46">
        <v>0.9</v>
      </c>
      <c r="H46">
        <v>0.8</v>
      </c>
      <c r="I46">
        <v>0.2</v>
      </c>
      <c r="J46">
        <v>0.2</v>
      </c>
      <c r="K46">
        <v>0.9</v>
      </c>
      <c r="L46">
        <v>0.7</v>
      </c>
      <c r="M46">
        <v>0.9</v>
      </c>
      <c r="N46">
        <v>0.8</v>
      </c>
      <c r="O46">
        <v>0.8</v>
      </c>
      <c r="P46">
        <v>0.7</v>
      </c>
      <c r="Q46">
        <v>0.9</v>
      </c>
      <c r="R46">
        <v>0.8</v>
      </c>
      <c r="S46">
        <v>0.2</v>
      </c>
      <c r="T46">
        <v>0.3</v>
      </c>
      <c r="U46">
        <v>0.9</v>
      </c>
      <c r="V46">
        <v>0.8</v>
      </c>
      <c r="W46">
        <v>0.29899999999999999</v>
      </c>
      <c r="X46">
        <v>0.78500000000000003</v>
      </c>
      <c r="AQ46">
        <v>0.9</v>
      </c>
      <c r="AR46">
        <v>0.1</v>
      </c>
      <c r="AS46">
        <v>0.8</v>
      </c>
      <c r="AT46">
        <v>0.4</v>
      </c>
      <c r="AU46">
        <v>0.1</v>
      </c>
      <c r="AV46">
        <v>1</v>
      </c>
      <c r="AW46">
        <v>6.3E-2</v>
      </c>
      <c r="AX46">
        <v>0.47599999999999998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3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2</v>
      </c>
      <c r="LX46">
        <v>0</v>
      </c>
      <c r="LY46">
        <v>0</v>
      </c>
      <c r="LZ46">
        <v>0</v>
      </c>
      <c r="MA46">
        <v>0</v>
      </c>
      <c r="MB46">
        <v>2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2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3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2</v>
      </c>
      <c r="XK46">
        <v>0</v>
      </c>
      <c r="XL46">
        <v>0</v>
      </c>
      <c r="XM46">
        <v>0</v>
      </c>
      <c r="XN46">
        <v>0</v>
      </c>
      <c r="XO46">
        <v>2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</row>
    <row r="47" spans="1:656" x14ac:dyDescent="0.2">
      <c r="A47" t="s">
        <v>748</v>
      </c>
      <c r="B47" t="s">
        <v>749</v>
      </c>
      <c r="C47" t="s">
        <v>683</v>
      </c>
      <c r="D47" t="s">
        <v>708</v>
      </c>
      <c r="E47" t="s">
        <v>660</v>
      </c>
      <c r="F47">
        <v>2</v>
      </c>
      <c r="G47">
        <v>0.9</v>
      </c>
      <c r="H47">
        <v>0.8</v>
      </c>
      <c r="I47">
        <v>0.1</v>
      </c>
      <c r="J47">
        <v>0.1</v>
      </c>
      <c r="K47">
        <v>1</v>
      </c>
      <c r="L47">
        <v>0.7</v>
      </c>
      <c r="M47">
        <v>0.1</v>
      </c>
      <c r="N47">
        <v>0.1</v>
      </c>
      <c r="O47">
        <v>0.9</v>
      </c>
      <c r="P47">
        <v>0.8</v>
      </c>
      <c r="Q47">
        <v>0.1</v>
      </c>
      <c r="R47">
        <v>0.1</v>
      </c>
      <c r="S47">
        <v>1</v>
      </c>
      <c r="T47">
        <v>0.7</v>
      </c>
      <c r="U47">
        <v>0.1</v>
      </c>
      <c r="V47">
        <v>0.1</v>
      </c>
      <c r="W47">
        <v>-0.27200000000000002</v>
      </c>
      <c r="X47">
        <v>0.60099999999999998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0.9</v>
      </c>
      <c r="AR47">
        <v>0.1</v>
      </c>
      <c r="AS47">
        <v>0.75</v>
      </c>
      <c r="AT47">
        <v>0.15</v>
      </c>
      <c r="AU47">
        <v>0.1</v>
      </c>
      <c r="AV47">
        <v>0.9</v>
      </c>
      <c r="AW47">
        <v>0.14399999999999999</v>
      </c>
      <c r="AX47">
        <v>0.52800000000000002</v>
      </c>
      <c r="AY47">
        <v>0</v>
      </c>
      <c r="AZ47">
        <v>0</v>
      </c>
      <c r="BA47">
        <v>7.0710678118654793E-2</v>
      </c>
      <c r="BB47">
        <v>7.0710678118654696E-2</v>
      </c>
      <c r="BC47">
        <v>0</v>
      </c>
      <c r="BD47">
        <v>0</v>
      </c>
      <c r="BE47">
        <v>4.3840620433565902E-2</v>
      </c>
      <c r="BF47">
        <v>2.8284271247461901E-2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6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3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4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2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3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1.5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2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1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</row>
    <row r="48" spans="1:656" x14ac:dyDescent="0.2">
      <c r="A48" t="s">
        <v>750</v>
      </c>
      <c r="B48" t="s">
        <v>751</v>
      </c>
      <c r="D48" t="s">
        <v>702</v>
      </c>
      <c r="E48" t="s">
        <v>660</v>
      </c>
      <c r="F48">
        <v>1</v>
      </c>
      <c r="G48">
        <v>0.9</v>
      </c>
      <c r="H48">
        <v>0.9</v>
      </c>
      <c r="I48">
        <v>0.6</v>
      </c>
      <c r="J48">
        <v>0.6</v>
      </c>
      <c r="K48">
        <v>1</v>
      </c>
      <c r="L48">
        <v>0.8</v>
      </c>
      <c r="M48">
        <v>0.9</v>
      </c>
      <c r="N48">
        <v>0.8</v>
      </c>
      <c r="O48">
        <v>0.9</v>
      </c>
      <c r="P48">
        <v>0.8</v>
      </c>
      <c r="Q48">
        <v>1</v>
      </c>
      <c r="R48">
        <v>1</v>
      </c>
      <c r="S48">
        <v>0.5</v>
      </c>
      <c r="T48">
        <v>0.6</v>
      </c>
      <c r="U48">
        <v>1</v>
      </c>
      <c r="V48">
        <v>1</v>
      </c>
      <c r="W48">
        <v>0.93</v>
      </c>
      <c r="X48">
        <v>0.98799999999999999</v>
      </c>
      <c r="AQ48">
        <v>0.9</v>
      </c>
      <c r="AR48">
        <v>0.1</v>
      </c>
      <c r="AS48">
        <v>0.8</v>
      </c>
      <c r="AT48">
        <v>0.4</v>
      </c>
      <c r="AU48">
        <v>0.1</v>
      </c>
      <c r="AV48">
        <v>1</v>
      </c>
      <c r="AW48">
        <v>6.3E-2</v>
      </c>
      <c r="AX48">
        <v>0.47599999999999998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2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3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2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2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2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3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</row>
    <row r="49" spans="1:656" x14ac:dyDescent="0.2">
      <c r="A49" t="s">
        <v>752</v>
      </c>
      <c r="B49" t="s">
        <v>753</v>
      </c>
      <c r="C49" t="s">
        <v>754</v>
      </c>
      <c r="D49" t="s">
        <v>755</v>
      </c>
      <c r="E49" t="s">
        <v>660</v>
      </c>
      <c r="F49">
        <v>1</v>
      </c>
      <c r="G49">
        <v>0.9</v>
      </c>
      <c r="H49">
        <v>0.8</v>
      </c>
      <c r="I49">
        <v>0.1</v>
      </c>
      <c r="J49">
        <v>0.1</v>
      </c>
      <c r="K49">
        <v>1</v>
      </c>
      <c r="L49">
        <v>0.7</v>
      </c>
      <c r="M49">
        <v>0.1</v>
      </c>
      <c r="N49">
        <v>0.1</v>
      </c>
      <c r="O49">
        <v>0.9</v>
      </c>
      <c r="P49">
        <v>0.8</v>
      </c>
      <c r="Q49">
        <v>0.1</v>
      </c>
      <c r="R49">
        <v>0.1</v>
      </c>
      <c r="S49">
        <v>1</v>
      </c>
      <c r="T49">
        <v>0.7</v>
      </c>
      <c r="U49">
        <v>0.1</v>
      </c>
      <c r="V49">
        <v>0.1</v>
      </c>
      <c r="W49">
        <v>-0.27200000000000002</v>
      </c>
      <c r="X49">
        <v>0.60099999999999998</v>
      </c>
      <c r="AQ49">
        <v>0.9</v>
      </c>
      <c r="AR49">
        <v>0.1</v>
      </c>
      <c r="AS49">
        <v>0.8</v>
      </c>
      <c r="AT49">
        <v>0.2</v>
      </c>
      <c r="AU49">
        <v>0.1</v>
      </c>
      <c r="AV49">
        <v>0.9</v>
      </c>
      <c r="AW49">
        <v>0.15</v>
      </c>
      <c r="AX49">
        <v>0.53200000000000003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1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</row>
    <row r="50" spans="1:656" x14ac:dyDescent="0.2">
      <c r="A50" t="s">
        <v>756</v>
      </c>
      <c r="B50" t="s">
        <v>757</v>
      </c>
      <c r="D50" t="s">
        <v>702</v>
      </c>
      <c r="E50" t="s">
        <v>660</v>
      </c>
      <c r="F50">
        <v>14</v>
      </c>
      <c r="G50">
        <v>0.85</v>
      </c>
      <c r="H50">
        <v>0.73571428571428499</v>
      </c>
      <c r="I50">
        <v>0.39999999999999902</v>
      </c>
      <c r="J50">
        <v>0.371428571428571</v>
      </c>
      <c r="K50">
        <v>0.85714285714285698</v>
      </c>
      <c r="L50">
        <v>0.65</v>
      </c>
      <c r="M50">
        <v>0.45</v>
      </c>
      <c r="N50">
        <v>0.40714285714285697</v>
      </c>
      <c r="O50">
        <v>0.83571428571428497</v>
      </c>
      <c r="P50">
        <v>0.71428571428571397</v>
      </c>
      <c r="Q50">
        <v>0.51428571428571401</v>
      </c>
      <c r="R50">
        <v>0.47142857142857097</v>
      </c>
      <c r="S50">
        <v>0.72857142857142798</v>
      </c>
      <c r="T50">
        <v>0.61428571428571399</v>
      </c>
      <c r="U50">
        <v>0.51428571428571401</v>
      </c>
      <c r="V50">
        <v>0.45714285714285702</v>
      </c>
      <c r="W50">
        <v>0.113785714285714</v>
      </c>
      <c r="X50">
        <v>0.72542857142857098</v>
      </c>
      <c r="Y50">
        <v>0.165250392761083</v>
      </c>
      <c r="Z50">
        <v>0.18232322463624301</v>
      </c>
      <c r="AA50">
        <v>0.34641016151377502</v>
      </c>
      <c r="AB50">
        <v>0.32446066830160603</v>
      </c>
      <c r="AC50">
        <v>0.21737697038266701</v>
      </c>
      <c r="AD50">
        <v>0.17431183374807099</v>
      </c>
      <c r="AE50">
        <v>0.37977726265637402</v>
      </c>
      <c r="AF50">
        <v>0.336187415026169</v>
      </c>
      <c r="AG50">
        <v>0.164584057818222</v>
      </c>
      <c r="AH50">
        <v>0.156190922897601</v>
      </c>
      <c r="AI50">
        <v>0.41110946110614899</v>
      </c>
      <c r="AJ50">
        <v>0.38316208947805203</v>
      </c>
      <c r="AK50">
        <v>0.29201836461894798</v>
      </c>
      <c r="AL50">
        <v>0.17478401113789099</v>
      </c>
      <c r="AM50">
        <v>0.422186875970533</v>
      </c>
      <c r="AN50">
        <v>0.38172540616821099</v>
      </c>
      <c r="AO50">
        <v>0.58241436195460405</v>
      </c>
      <c r="AP50">
        <v>0.18760380276845801</v>
      </c>
      <c r="AQ50">
        <v>0.85</v>
      </c>
      <c r="AR50">
        <v>0.157142857142857</v>
      </c>
      <c r="AS50">
        <v>0.78571428571428503</v>
      </c>
      <c r="AT50">
        <v>0.39999999999999902</v>
      </c>
      <c r="AU50">
        <v>0.39999999999999902</v>
      </c>
      <c r="AV50">
        <v>0.72857142857142798</v>
      </c>
      <c r="AW50">
        <v>0.244857142857142</v>
      </c>
      <c r="AX50">
        <v>0.59199999999999997</v>
      </c>
      <c r="AY50">
        <v>0.20286410760370099</v>
      </c>
      <c r="AZ50">
        <v>0.22088732148135801</v>
      </c>
      <c r="BA50">
        <v>0.19944979263017401</v>
      </c>
      <c r="BB50">
        <v>0.330500785522166</v>
      </c>
      <c r="BC50">
        <v>0.30382181012509901</v>
      </c>
      <c r="BD50">
        <v>0.19778998741311199</v>
      </c>
      <c r="BE50">
        <v>0.32720185657336198</v>
      </c>
      <c r="BF50">
        <v>0.207687635275078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6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6</v>
      </c>
      <c r="GP50">
        <v>11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6</v>
      </c>
      <c r="IA50">
        <v>3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15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17</v>
      </c>
      <c r="IY50">
        <v>0</v>
      </c>
      <c r="IZ50">
        <v>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22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0.14285714285714199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1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0.64285714285714202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0.42857142857142799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0.28571428571428498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0.42857142857142799</v>
      </c>
      <c r="SC50">
        <v>0.78571428571428503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0.71428571428571397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0.42857142857142799</v>
      </c>
      <c r="TN50">
        <v>0.214285714285714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1.0714285714285701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1.21428571428571</v>
      </c>
      <c r="UL50">
        <v>0</v>
      </c>
      <c r="UM50">
        <v>0.14285714285714199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1.5714285714285701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</row>
    <row r="51" spans="1:656" x14ac:dyDescent="0.2">
      <c r="A51" t="s">
        <v>758</v>
      </c>
      <c r="D51" t="s">
        <v>759</v>
      </c>
      <c r="E51" t="s">
        <v>760</v>
      </c>
      <c r="F51">
        <v>1</v>
      </c>
      <c r="G51">
        <v>0.9</v>
      </c>
      <c r="H51">
        <v>0.9</v>
      </c>
      <c r="I51">
        <v>0.1</v>
      </c>
      <c r="J51">
        <v>0.1</v>
      </c>
      <c r="K51">
        <v>1</v>
      </c>
      <c r="L51">
        <v>0.8</v>
      </c>
      <c r="M51">
        <v>0.1</v>
      </c>
      <c r="N51">
        <v>0.1</v>
      </c>
      <c r="O51">
        <v>0.9</v>
      </c>
      <c r="P51">
        <v>0.9</v>
      </c>
      <c r="Q51">
        <v>0.1</v>
      </c>
      <c r="R51">
        <v>0.1</v>
      </c>
      <c r="S51">
        <v>1</v>
      </c>
      <c r="T51">
        <v>0.8</v>
      </c>
      <c r="U51">
        <v>0.1</v>
      </c>
      <c r="V51">
        <v>0.1</v>
      </c>
      <c r="W51">
        <v>-0.15</v>
      </c>
      <c r="X51">
        <v>0.64100000000000001</v>
      </c>
      <c r="AQ51">
        <v>1</v>
      </c>
      <c r="AR51">
        <v>0</v>
      </c>
      <c r="AS51">
        <v>0.9</v>
      </c>
      <c r="AT51">
        <v>0.1</v>
      </c>
      <c r="AU51">
        <v>0.1</v>
      </c>
      <c r="AV51">
        <v>1</v>
      </c>
      <c r="AW51">
        <v>0.22500000000000001</v>
      </c>
      <c r="AX51">
        <v>0.57899999999999996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2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1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2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</row>
    <row r="52" spans="1:656" x14ac:dyDescent="0.2">
      <c r="A52" t="s">
        <v>761</v>
      </c>
      <c r="B52" t="s">
        <v>762</v>
      </c>
      <c r="C52" t="s">
        <v>678</v>
      </c>
      <c r="D52" t="s">
        <v>763</v>
      </c>
      <c r="E52" t="s">
        <v>733</v>
      </c>
      <c r="F52">
        <v>2</v>
      </c>
      <c r="G52">
        <v>0.9</v>
      </c>
      <c r="H52">
        <v>0.8</v>
      </c>
      <c r="I52">
        <v>0.1</v>
      </c>
      <c r="J52">
        <v>0.1</v>
      </c>
      <c r="K52">
        <v>0.95</v>
      </c>
      <c r="L52">
        <v>0.7</v>
      </c>
      <c r="M52">
        <v>0.15</v>
      </c>
      <c r="N52">
        <v>0.15</v>
      </c>
      <c r="O52">
        <v>0.9</v>
      </c>
      <c r="P52">
        <v>0.8</v>
      </c>
      <c r="Q52">
        <v>0.15</v>
      </c>
      <c r="R52">
        <v>0.15</v>
      </c>
      <c r="S52">
        <v>0.95</v>
      </c>
      <c r="T52">
        <v>0.7</v>
      </c>
      <c r="U52">
        <v>0.15</v>
      </c>
      <c r="V52">
        <v>0.15</v>
      </c>
      <c r="W52">
        <v>-0.22550000000000001</v>
      </c>
      <c r="X52">
        <v>0.61599999999999999</v>
      </c>
      <c r="Y52">
        <v>0</v>
      </c>
      <c r="Z52">
        <v>0</v>
      </c>
      <c r="AA52">
        <v>0</v>
      </c>
      <c r="AB52">
        <v>0</v>
      </c>
      <c r="AC52">
        <v>7.0710678118654696E-2</v>
      </c>
      <c r="AD52">
        <v>0</v>
      </c>
      <c r="AE52">
        <v>7.0710678118654696E-2</v>
      </c>
      <c r="AF52">
        <v>7.0710678118654696E-2</v>
      </c>
      <c r="AG52">
        <v>0</v>
      </c>
      <c r="AH52">
        <v>0</v>
      </c>
      <c r="AI52">
        <v>7.0710678118654696E-2</v>
      </c>
      <c r="AJ52">
        <v>7.0710678118654696E-2</v>
      </c>
      <c r="AK52">
        <v>7.0710678118654696E-2</v>
      </c>
      <c r="AL52">
        <v>0</v>
      </c>
      <c r="AM52">
        <v>7.0710678118654696E-2</v>
      </c>
      <c r="AN52">
        <v>7.0710678118654696E-2</v>
      </c>
      <c r="AO52">
        <v>6.5760930650348895E-2</v>
      </c>
      <c r="AP52">
        <v>2.1213203435596399E-2</v>
      </c>
      <c r="AQ52">
        <v>0.85</v>
      </c>
      <c r="AR52">
        <v>0.1</v>
      </c>
      <c r="AS52">
        <v>0.85</v>
      </c>
      <c r="AT52">
        <v>0.25</v>
      </c>
      <c r="AU52">
        <v>0.25</v>
      </c>
      <c r="AV52">
        <v>0.8</v>
      </c>
      <c r="AW52">
        <v>0.23749999999999999</v>
      </c>
      <c r="AX52">
        <v>0.58750000000000002</v>
      </c>
      <c r="AY52">
        <v>7.0710678118654696E-2</v>
      </c>
      <c r="AZ52">
        <v>0</v>
      </c>
      <c r="BA52">
        <v>7.0710678118654696E-2</v>
      </c>
      <c r="BB52">
        <v>7.0710678118654696E-2</v>
      </c>
      <c r="BC52">
        <v>0.21213203435596401</v>
      </c>
      <c r="BD52">
        <v>0.141421356237309</v>
      </c>
      <c r="BE52">
        <v>0.123743686707645</v>
      </c>
      <c r="BF52">
        <v>7.8488852711706705E-2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2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4</v>
      </c>
      <c r="JK52">
        <v>0</v>
      </c>
      <c r="JL52">
        <v>0</v>
      </c>
      <c r="JM52">
        <v>0</v>
      </c>
      <c r="JN52">
        <v>0</v>
      </c>
      <c r="JO52">
        <v>1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1.5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1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2</v>
      </c>
      <c r="UX52">
        <v>0</v>
      </c>
      <c r="UY52">
        <v>0</v>
      </c>
      <c r="UZ52">
        <v>0</v>
      </c>
      <c r="VA52">
        <v>0</v>
      </c>
      <c r="VB52">
        <v>0.5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</row>
    <row r="53" spans="1:656" x14ac:dyDescent="0.2">
      <c r="A53" t="s">
        <v>764</v>
      </c>
      <c r="D53" t="s">
        <v>698</v>
      </c>
      <c r="E53" t="s">
        <v>660</v>
      </c>
      <c r="F53">
        <v>2</v>
      </c>
      <c r="G53">
        <v>0.6</v>
      </c>
      <c r="H53">
        <v>0.65</v>
      </c>
      <c r="I53">
        <v>0.1</v>
      </c>
      <c r="J53">
        <v>0.1</v>
      </c>
      <c r="K53">
        <v>0.65</v>
      </c>
      <c r="L53">
        <v>0.6</v>
      </c>
      <c r="M53">
        <v>0.1</v>
      </c>
      <c r="N53">
        <v>0.1</v>
      </c>
      <c r="O53">
        <v>0.8</v>
      </c>
      <c r="P53">
        <v>0.6</v>
      </c>
      <c r="Q53">
        <v>0.1</v>
      </c>
      <c r="R53">
        <v>0.1</v>
      </c>
      <c r="S53">
        <v>0.95</v>
      </c>
      <c r="T53">
        <v>0.6</v>
      </c>
      <c r="U53">
        <v>0.1</v>
      </c>
      <c r="V53">
        <v>0.1</v>
      </c>
      <c r="W53">
        <v>-0.57399999999999995</v>
      </c>
      <c r="X53">
        <v>0.50449999999999995</v>
      </c>
      <c r="Y53">
        <v>0.42426406871192801</v>
      </c>
      <c r="Z53">
        <v>0.35355339059327301</v>
      </c>
      <c r="AA53">
        <v>0</v>
      </c>
      <c r="AB53">
        <v>0</v>
      </c>
      <c r="AC53">
        <v>0.49497474683058301</v>
      </c>
      <c r="AD53">
        <v>0.28284271247461901</v>
      </c>
      <c r="AE53">
        <v>0</v>
      </c>
      <c r="AF53">
        <v>0</v>
      </c>
      <c r="AG53">
        <v>0.141421356237309</v>
      </c>
      <c r="AH53">
        <v>0.42426406871192801</v>
      </c>
      <c r="AI53">
        <v>0</v>
      </c>
      <c r="AJ53">
        <v>0</v>
      </c>
      <c r="AK53">
        <v>7.0710678118654696E-2</v>
      </c>
      <c r="AL53">
        <v>0.28284271247461901</v>
      </c>
      <c r="AM53">
        <v>0</v>
      </c>
      <c r="AN53">
        <v>0</v>
      </c>
      <c r="AO53">
        <v>0.59962655044619195</v>
      </c>
      <c r="AP53">
        <v>0.19304015126392701</v>
      </c>
      <c r="AQ53">
        <v>0.85</v>
      </c>
      <c r="AR53">
        <v>0.25</v>
      </c>
      <c r="AS53">
        <v>0.75</v>
      </c>
      <c r="AT53">
        <v>0.1</v>
      </c>
      <c r="AU53">
        <v>0.1</v>
      </c>
      <c r="AV53">
        <v>0.55000000000000004</v>
      </c>
      <c r="AW53">
        <v>0.23749999999999999</v>
      </c>
      <c r="AX53">
        <v>0.58750000000000002</v>
      </c>
      <c r="AY53">
        <v>7.0710678118654696E-2</v>
      </c>
      <c r="AZ53">
        <v>0.21213203435596401</v>
      </c>
      <c r="BA53">
        <v>7.0710678118654793E-2</v>
      </c>
      <c r="BB53">
        <v>0</v>
      </c>
      <c r="BC53">
        <v>0</v>
      </c>
      <c r="BD53">
        <v>0.49497474683058301</v>
      </c>
      <c r="BE53">
        <v>8.8388347648318405E-2</v>
      </c>
      <c r="BF53">
        <v>5.5861435713737202E-2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1.5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1.5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</row>
    <row r="54" spans="1:656" x14ac:dyDescent="0.2">
      <c r="A54" t="s">
        <v>765</v>
      </c>
      <c r="D54" t="s">
        <v>766</v>
      </c>
      <c r="E54" t="s">
        <v>767</v>
      </c>
      <c r="F54">
        <v>1</v>
      </c>
      <c r="G54">
        <v>0.9</v>
      </c>
      <c r="H54">
        <v>0.9</v>
      </c>
      <c r="I54">
        <v>0.1</v>
      </c>
      <c r="J54">
        <v>0.1</v>
      </c>
      <c r="K54">
        <v>0.9</v>
      </c>
      <c r="L54">
        <v>0.8</v>
      </c>
      <c r="M54">
        <v>0.1</v>
      </c>
      <c r="N54">
        <v>0.1</v>
      </c>
      <c r="O54">
        <v>0.9</v>
      </c>
      <c r="P54">
        <v>0.9</v>
      </c>
      <c r="Q54">
        <v>0.1</v>
      </c>
      <c r="R54">
        <v>0.1</v>
      </c>
      <c r="S54">
        <v>0.9</v>
      </c>
      <c r="T54">
        <v>0.8</v>
      </c>
      <c r="U54">
        <v>0.1</v>
      </c>
      <c r="V54">
        <v>0.1</v>
      </c>
      <c r="W54">
        <v>-0.19500000000000001</v>
      </c>
      <c r="X54">
        <v>0.626</v>
      </c>
      <c r="AQ54">
        <v>0.9</v>
      </c>
      <c r="AR54">
        <v>0.1</v>
      </c>
      <c r="AS54">
        <v>0.9</v>
      </c>
      <c r="AT54">
        <v>0.1</v>
      </c>
      <c r="AU54">
        <v>0.1</v>
      </c>
      <c r="AV54">
        <v>1</v>
      </c>
      <c r="AW54">
        <v>0.17499999999999999</v>
      </c>
      <c r="AX54">
        <v>0.54800000000000004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2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3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2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2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3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</row>
    <row r="55" spans="1:656" x14ac:dyDescent="0.2">
      <c r="A55" t="s">
        <v>768</v>
      </c>
      <c r="D55" t="s">
        <v>766</v>
      </c>
      <c r="E55" t="s">
        <v>769</v>
      </c>
      <c r="F55">
        <v>1</v>
      </c>
      <c r="G55">
        <v>0.9</v>
      </c>
      <c r="H55">
        <v>0.8</v>
      </c>
      <c r="I55">
        <v>0.1</v>
      </c>
      <c r="J55">
        <v>0.1</v>
      </c>
      <c r="K55">
        <v>1</v>
      </c>
      <c r="L55">
        <v>0.7</v>
      </c>
      <c r="M55">
        <v>0.1</v>
      </c>
      <c r="N55">
        <v>0.1</v>
      </c>
      <c r="O55">
        <v>0.9</v>
      </c>
      <c r="P55">
        <v>0.8</v>
      </c>
      <c r="Q55">
        <v>0.1</v>
      </c>
      <c r="R55">
        <v>0.1</v>
      </c>
      <c r="S55">
        <v>1</v>
      </c>
      <c r="T55">
        <v>0.7</v>
      </c>
      <c r="U55">
        <v>0.1</v>
      </c>
      <c r="V55">
        <v>0.1</v>
      </c>
      <c r="W55">
        <v>-0.27200000000000002</v>
      </c>
      <c r="X55">
        <v>0.60099999999999998</v>
      </c>
      <c r="AQ55">
        <v>0.9</v>
      </c>
      <c r="AR55">
        <v>0.1</v>
      </c>
      <c r="AS55">
        <v>0.8</v>
      </c>
      <c r="AT55">
        <v>0.2</v>
      </c>
      <c r="AU55">
        <v>0.1</v>
      </c>
      <c r="AV55">
        <v>0.9</v>
      </c>
      <c r="AW55">
        <v>0.15</v>
      </c>
      <c r="AX55">
        <v>0.53200000000000003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2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2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2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2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</row>
    <row r="56" spans="1:656" x14ac:dyDescent="0.2">
      <c r="A56" t="s">
        <v>770</v>
      </c>
      <c r="D56" t="s">
        <v>759</v>
      </c>
      <c r="E56" t="s">
        <v>760</v>
      </c>
      <c r="F56">
        <v>1</v>
      </c>
      <c r="G56">
        <v>0.9</v>
      </c>
      <c r="H56">
        <v>0.8</v>
      </c>
      <c r="I56">
        <v>0.1</v>
      </c>
      <c r="J56">
        <v>0.1</v>
      </c>
      <c r="K56">
        <v>1</v>
      </c>
      <c r="L56">
        <v>0.7</v>
      </c>
      <c r="M56">
        <v>0.1</v>
      </c>
      <c r="N56">
        <v>0.1</v>
      </c>
      <c r="O56">
        <v>0.9</v>
      </c>
      <c r="P56">
        <v>0.8</v>
      </c>
      <c r="Q56">
        <v>0.1</v>
      </c>
      <c r="R56">
        <v>0.1</v>
      </c>
      <c r="S56">
        <v>1</v>
      </c>
      <c r="T56">
        <v>0.7</v>
      </c>
      <c r="U56">
        <v>0.1</v>
      </c>
      <c r="V56">
        <v>0.1</v>
      </c>
      <c r="W56">
        <v>-0.27200000000000002</v>
      </c>
      <c r="X56">
        <v>0.60099999999999998</v>
      </c>
      <c r="AQ56">
        <v>0.9</v>
      </c>
      <c r="AR56">
        <v>0.1</v>
      </c>
      <c r="AS56">
        <v>0.8</v>
      </c>
      <c r="AT56">
        <v>0.2</v>
      </c>
      <c r="AU56">
        <v>0.1</v>
      </c>
      <c r="AV56">
        <v>0.9</v>
      </c>
      <c r="AW56">
        <v>0.15</v>
      </c>
      <c r="AX56">
        <v>0.53200000000000003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3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4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1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3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4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2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</row>
    <row r="57" spans="1:656" x14ac:dyDescent="0.2">
      <c r="A57" t="s">
        <v>771</v>
      </c>
      <c r="B57" t="s">
        <v>772</v>
      </c>
      <c r="D57" t="s">
        <v>773</v>
      </c>
      <c r="E57" t="s">
        <v>660</v>
      </c>
      <c r="F57">
        <v>2</v>
      </c>
      <c r="G57">
        <v>0.9</v>
      </c>
      <c r="H57">
        <v>0.85</v>
      </c>
      <c r="I57">
        <v>0.25</v>
      </c>
      <c r="J57">
        <v>0.25</v>
      </c>
      <c r="K57">
        <v>0.9</v>
      </c>
      <c r="L57">
        <v>0.75</v>
      </c>
      <c r="M57">
        <v>0.5</v>
      </c>
      <c r="N57">
        <v>0.45</v>
      </c>
      <c r="O57">
        <v>0.85</v>
      </c>
      <c r="P57">
        <v>0.8</v>
      </c>
      <c r="Q57">
        <v>0.55000000000000004</v>
      </c>
      <c r="R57">
        <v>0.55000000000000004</v>
      </c>
      <c r="S57">
        <v>0.7</v>
      </c>
      <c r="T57">
        <v>0.65</v>
      </c>
      <c r="U57">
        <v>0.55000000000000004</v>
      </c>
      <c r="V57">
        <v>0.55000000000000004</v>
      </c>
      <c r="W57">
        <v>0.25700000000000001</v>
      </c>
      <c r="X57">
        <v>0.77200000000000002</v>
      </c>
      <c r="Y57">
        <v>0</v>
      </c>
      <c r="Z57">
        <v>7.0710678118654696E-2</v>
      </c>
      <c r="AA57">
        <v>0.21213203435596401</v>
      </c>
      <c r="AB57">
        <v>0.21213203435596401</v>
      </c>
      <c r="AC57">
        <v>0.141421356237309</v>
      </c>
      <c r="AD57">
        <v>7.0710678118654793E-2</v>
      </c>
      <c r="AE57">
        <v>0.56568542494923801</v>
      </c>
      <c r="AF57">
        <v>0.49497474683058301</v>
      </c>
      <c r="AG57">
        <v>7.0710678118654696E-2</v>
      </c>
      <c r="AH57">
        <v>0.141421356237309</v>
      </c>
      <c r="AI57">
        <v>0.63639610306789196</v>
      </c>
      <c r="AJ57">
        <v>0.63639610306789196</v>
      </c>
      <c r="AK57">
        <v>0.42426406871192801</v>
      </c>
      <c r="AL57">
        <v>0.21213203435596401</v>
      </c>
      <c r="AM57">
        <v>0.63639610306789196</v>
      </c>
      <c r="AN57">
        <v>0.63639610306789196</v>
      </c>
      <c r="AO57">
        <v>0.57558491988584903</v>
      </c>
      <c r="AP57">
        <v>0.18526197667087499</v>
      </c>
      <c r="AQ57">
        <v>0.9</v>
      </c>
      <c r="AR57">
        <v>0.1</v>
      </c>
      <c r="AS57">
        <v>0.8</v>
      </c>
      <c r="AT57">
        <v>0.3</v>
      </c>
      <c r="AU57">
        <v>0.15</v>
      </c>
      <c r="AV57">
        <v>1</v>
      </c>
      <c r="AW57">
        <v>0.1065</v>
      </c>
      <c r="AX57">
        <v>0.504</v>
      </c>
      <c r="AY57">
        <v>0.141421356237309</v>
      </c>
      <c r="AZ57">
        <v>0.141421356237309</v>
      </c>
      <c r="BA57">
        <v>0</v>
      </c>
      <c r="BB57">
        <v>0.28284271247461901</v>
      </c>
      <c r="BC57">
        <v>7.0710678118654696E-2</v>
      </c>
      <c r="BD57">
        <v>0</v>
      </c>
      <c r="BE57">
        <v>0.115258405333407</v>
      </c>
      <c r="BF57">
        <v>7.3539105243400904E-2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6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3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2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3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1.5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1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</row>
    <row r="58" spans="1:656" x14ac:dyDescent="0.2">
      <c r="A58" t="s">
        <v>774</v>
      </c>
      <c r="D58" t="s">
        <v>775</v>
      </c>
      <c r="E58" t="s">
        <v>660</v>
      </c>
      <c r="F58">
        <v>2</v>
      </c>
      <c r="G58">
        <v>0.85</v>
      </c>
      <c r="H58">
        <v>0.8</v>
      </c>
      <c r="I58">
        <v>0.55000000000000004</v>
      </c>
      <c r="J58">
        <v>0.55000000000000004</v>
      </c>
      <c r="K58">
        <v>0.8</v>
      </c>
      <c r="L58">
        <v>0.7</v>
      </c>
      <c r="M58">
        <v>0.65</v>
      </c>
      <c r="N58">
        <v>0.65</v>
      </c>
      <c r="O58">
        <v>0.8</v>
      </c>
      <c r="P58">
        <v>0.75</v>
      </c>
      <c r="Q58">
        <v>0.7</v>
      </c>
      <c r="R58">
        <v>0.65</v>
      </c>
      <c r="S58">
        <v>0.44999999999999901</v>
      </c>
      <c r="T58">
        <v>0.55000000000000004</v>
      </c>
      <c r="U58">
        <v>0.8</v>
      </c>
      <c r="V58">
        <v>0.75</v>
      </c>
      <c r="W58">
        <v>0.40499999999999903</v>
      </c>
      <c r="X58">
        <v>0.81899999999999995</v>
      </c>
      <c r="Y58">
        <v>7.0710678118654696E-2</v>
      </c>
      <c r="Z58">
        <v>0</v>
      </c>
      <c r="AA58">
        <v>0.49497474683058301</v>
      </c>
      <c r="AB58">
        <v>0.49497474683058301</v>
      </c>
      <c r="AC58">
        <v>0.141421356237309</v>
      </c>
      <c r="AD58">
        <v>0</v>
      </c>
      <c r="AE58">
        <v>0.35355339059327301</v>
      </c>
      <c r="AF58">
        <v>0.35355339059327301</v>
      </c>
      <c r="AG58">
        <v>0</v>
      </c>
      <c r="AH58">
        <v>7.0710678118654793E-2</v>
      </c>
      <c r="AI58">
        <v>0.141421356237309</v>
      </c>
      <c r="AJ58">
        <v>0.21213203435596401</v>
      </c>
      <c r="AK58">
        <v>0.21213203435596401</v>
      </c>
      <c r="AL58">
        <v>0.21213203435596401</v>
      </c>
      <c r="AM58">
        <v>0.141421356237309</v>
      </c>
      <c r="AN58">
        <v>0.21213203435596401</v>
      </c>
      <c r="AO58">
        <v>0.60669761825805701</v>
      </c>
      <c r="AP58">
        <v>0.19516147160748701</v>
      </c>
      <c r="AQ58">
        <v>0.9</v>
      </c>
      <c r="AR58">
        <v>0.05</v>
      </c>
      <c r="AS58">
        <v>0.85</v>
      </c>
      <c r="AT58">
        <v>0.2</v>
      </c>
      <c r="AU58">
        <v>0.65</v>
      </c>
      <c r="AV58">
        <v>0.44999999999999901</v>
      </c>
      <c r="AW58">
        <v>0.55649999999999999</v>
      </c>
      <c r="AX58">
        <v>0.78949999999999998</v>
      </c>
      <c r="AY58">
        <v>0.141421356237309</v>
      </c>
      <c r="AZ58">
        <v>7.0710678118654696E-2</v>
      </c>
      <c r="BA58">
        <v>7.0710678118654696E-2</v>
      </c>
      <c r="BB58">
        <v>0.141421356237309</v>
      </c>
      <c r="BC58">
        <v>0.35355339059327301</v>
      </c>
      <c r="BD58">
        <v>0.35355339059327301</v>
      </c>
      <c r="BE58">
        <v>0.37971634149717598</v>
      </c>
      <c r="BF58">
        <v>0.24112341238461199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3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2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4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4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1.5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1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2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2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</row>
    <row r="59" spans="1:656" x14ac:dyDescent="0.2">
      <c r="A59" t="s">
        <v>776</v>
      </c>
      <c r="D59" t="s">
        <v>698</v>
      </c>
      <c r="E59" t="s">
        <v>660</v>
      </c>
      <c r="F59">
        <v>1</v>
      </c>
      <c r="G59">
        <v>0.9</v>
      </c>
      <c r="H59">
        <v>0.8</v>
      </c>
      <c r="I59">
        <v>0.1</v>
      </c>
      <c r="J59">
        <v>0.1</v>
      </c>
      <c r="K59">
        <v>1</v>
      </c>
      <c r="L59">
        <v>0.7</v>
      </c>
      <c r="M59">
        <v>0.2</v>
      </c>
      <c r="N59">
        <v>0.2</v>
      </c>
      <c r="O59">
        <v>0.9</v>
      </c>
      <c r="P59">
        <v>0.8</v>
      </c>
      <c r="Q59">
        <v>0.1</v>
      </c>
      <c r="R59">
        <v>0.1</v>
      </c>
      <c r="S59">
        <v>1</v>
      </c>
      <c r="T59">
        <v>0.7</v>
      </c>
      <c r="U59">
        <v>0.2</v>
      </c>
      <c r="V59">
        <v>0.2</v>
      </c>
      <c r="W59">
        <v>-0.18</v>
      </c>
      <c r="X59">
        <v>0.63100000000000001</v>
      </c>
      <c r="AQ59">
        <v>0.8</v>
      </c>
      <c r="AR59">
        <v>0.2</v>
      </c>
      <c r="AS59">
        <v>0.7</v>
      </c>
      <c r="AT59">
        <v>0.3</v>
      </c>
      <c r="AU59">
        <v>0.1</v>
      </c>
      <c r="AV59">
        <v>0.9</v>
      </c>
      <c r="AW59">
        <v>3.7999999999999999E-2</v>
      </c>
      <c r="AX59">
        <v>0.46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2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2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2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</row>
    <row r="60" spans="1:656" x14ac:dyDescent="0.2">
      <c r="A60" t="s">
        <v>777</v>
      </c>
      <c r="D60" t="s">
        <v>698</v>
      </c>
      <c r="E60" t="s">
        <v>660</v>
      </c>
      <c r="F60">
        <v>2</v>
      </c>
      <c r="G60">
        <v>0.85</v>
      </c>
      <c r="H60">
        <v>0.8</v>
      </c>
      <c r="I60">
        <v>0.5</v>
      </c>
      <c r="J60">
        <v>0.5</v>
      </c>
      <c r="K60">
        <v>0.85</v>
      </c>
      <c r="L60">
        <v>0.7</v>
      </c>
      <c r="M60">
        <v>0.5</v>
      </c>
      <c r="N60">
        <v>0.5</v>
      </c>
      <c r="O60">
        <v>0.85</v>
      </c>
      <c r="P60">
        <v>0.8</v>
      </c>
      <c r="Q60">
        <v>0.55000000000000004</v>
      </c>
      <c r="R60">
        <v>0.55000000000000004</v>
      </c>
      <c r="S60">
        <v>0.8</v>
      </c>
      <c r="T60">
        <v>0.75</v>
      </c>
      <c r="U60">
        <v>0.55000000000000004</v>
      </c>
      <c r="V60">
        <v>0.55000000000000004</v>
      </c>
      <c r="W60">
        <v>0.38</v>
      </c>
      <c r="X60">
        <v>0.8115</v>
      </c>
      <c r="Y60">
        <v>7.0710678118654696E-2</v>
      </c>
      <c r="Z60">
        <v>0.141421356237309</v>
      </c>
      <c r="AA60">
        <v>0.56568542494923801</v>
      </c>
      <c r="AB60">
        <v>0.56568542494923801</v>
      </c>
      <c r="AC60">
        <v>0.21213203435596401</v>
      </c>
      <c r="AD60">
        <v>0.141421356237309</v>
      </c>
      <c r="AE60">
        <v>0.56568542494923801</v>
      </c>
      <c r="AF60">
        <v>0.56568542494923801</v>
      </c>
      <c r="AG60">
        <v>7.0710678118654696E-2</v>
      </c>
      <c r="AH60">
        <v>0.141421356237309</v>
      </c>
      <c r="AI60">
        <v>0.63639610306789196</v>
      </c>
      <c r="AJ60">
        <v>0.63639610306789196</v>
      </c>
      <c r="AK60">
        <v>0.28284271247461901</v>
      </c>
      <c r="AL60">
        <v>7.0710678118654793E-2</v>
      </c>
      <c r="AM60">
        <v>0.63639610306789196</v>
      </c>
      <c r="AN60">
        <v>0.63639610306789196</v>
      </c>
      <c r="AO60">
        <v>0.74953318805774005</v>
      </c>
      <c r="AP60">
        <v>0.24112341238461199</v>
      </c>
      <c r="AQ60">
        <v>0.85</v>
      </c>
      <c r="AR60">
        <v>0.15</v>
      </c>
      <c r="AS60">
        <v>0.85</v>
      </c>
      <c r="AT60">
        <v>0.25</v>
      </c>
      <c r="AU60">
        <v>0.45</v>
      </c>
      <c r="AV60">
        <v>0.7</v>
      </c>
      <c r="AW60">
        <v>0.33750000000000002</v>
      </c>
      <c r="AX60">
        <v>0.65049999999999997</v>
      </c>
      <c r="AY60">
        <v>0.21213203435596401</v>
      </c>
      <c r="AZ60">
        <v>0.21213203435596401</v>
      </c>
      <c r="BA60">
        <v>7.0710678118654696E-2</v>
      </c>
      <c r="BB60">
        <v>0.21213203435596401</v>
      </c>
      <c r="BC60">
        <v>0.49497474683058301</v>
      </c>
      <c r="BD60">
        <v>0.42426406871192801</v>
      </c>
      <c r="BE60">
        <v>0.15909902576697299</v>
      </c>
      <c r="BF60">
        <v>0.10111626970967599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6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4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3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2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</row>
    <row r="61" spans="1:656" x14ac:dyDescent="0.2">
      <c r="A61" t="s">
        <v>778</v>
      </c>
      <c r="D61" t="s">
        <v>674</v>
      </c>
      <c r="E61" t="s">
        <v>660</v>
      </c>
      <c r="F61">
        <v>2</v>
      </c>
      <c r="G61">
        <v>0.6</v>
      </c>
      <c r="H61">
        <v>0.5</v>
      </c>
      <c r="I61">
        <v>0.5</v>
      </c>
      <c r="J61">
        <v>0.15</v>
      </c>
      <c r="K61">
        <v>0.6</v>
      </c>
      <c r="L61">
        <v>0.39999999999999902</v>
      </c>
      <c r="M61">
        <v>0.5</v>
      </c>
      <c r="N61">
        <v>0.15</v>
      </c>
      <c r="O61">
        <v>0.6</v>
      </c>
      <c r="P61">
        <v>0.5</v>
      </c>
      <c r="Q61">
        <v>0.55000000000000004</v>
      </c>
      <c r="R61">
        <v>0.15</v>
      </c>
      <c r="S61">
        <v>0.6</v>
      </c>
      <c r="T61">
        <v>0.39999999999999902</v>
      </c>
      <c r="U61">
        <v>0.55000000000000004</v>
      </c>
      <c r="V61">
        <v>0.15</v>
      </c>
      <c r="W61">
        <v>-0.5675</v>
      </c>
      <c r="X61">
        <v>0.50600000000000001</v>
      </c>
      <c r="Y61">
        <v>0.42426406871192801</v>
      </c>
      <c r="Z61">
        <v>0.42426406871192801</v>
      </c>
      <c r="AA61">
        <v>0.56568542494923801</v>
      </c>
      <c r="AB61">
        <v>7.0710678118654696E-2</v>
      </c>
      <c r="AC61">
        <v>0.56568542494923801</v>
      </c>
      <c r="AD61">
        <v>0.42426406871192801</v>
      </c>
      <c r="AE61">
        <v>0.56568542494923801</v>
      </c>
      <c r="AF61">
        <v>7.0710678118654696E-2</v>
      </c>
      <c r="AG61">
        <v>0.42426406871192801</v>
      </c>
      <c r="AH61">
        <v>0.42426406871192801</v>
      </c>
      <c r="AI61">
        <v>0.63639610306789196</v>
      </c>
      <c r="AJ61">
        <v>7.0710678118654696E-2</v>
      </c>
      <c r="AK61">
        <v>0.56568542494923801</v>
      </c>
      <c r="AL61">
        <v>0.42426406871192801</v>
      </c>
      <c r="AM61">
        <v>0.63639610306789196</v>
      </c>
      <c r="AN61">
        <v>7.0710678118654696E-2</v>
      </c>
      <c r="AO61">
        <v>0.41790010768124902</v>
      </c>
      <c r="AP61">
        <v>0.134350288425444</v>
      </c>
      <c r="AQ61">
        <v>0.55000000000000004</v>
      </c>
      <c r="AR61">
        <v>0.5</v>
      </c>
      <c r="AS61">
        <v>0.55000000000000004</v>
      </c>
      <c r="AT61">
        <v>0.6</v>
      </c>
      <c r="AU61">
        <v>0.1</v>
      </c>
      <c r="AV61">
        <v>0.9</v>
      </c>
      <c r="AW61">
        <v>-0.23149999999999901</v>
      </c>
      <c r="AX61">
        <v>0.28999999999999998</v>
      </c>
      <c r="AY61">
        <v>0.49497474683058301</v>
      </c>
      <c r="AZ61">
        <v>0.56568542494923801</v>
      </c>
      <c r="BA61">
        <v>0.35355339059327301</v>
      </c>
      <c r="BB61">
        <v>0.56568542494923801</v>
      </c>
      <c r="BC61">
        <v>0</v>
      </c>
      <c r="BD61">
        <v>0</v>
      </c>
      <c r="BE61">
        <v>0.53952247404533504</v>
      </c>
      <c r="BF61">
        <v>0.34223968209428901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4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3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2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1.5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</row>
    <row r="62" spans="1:656" x14ac:dyDescent="0.2">
      <c r="A62" t="s">
        <v>779</v>
      </c>
      <c r="D62" t="s">
        <v>708</v>
      </c>
      <c r="E62" t="s">
        <v>660</v>
      </c>
      <c r="F62">
        <v>2</v>
      </c>
      <c r="G62">
        <v>0.9</v>
      </c>
      <c r="H62">
        <v>0.9</v>
      </c>
      <c r="I62">
        <v>0.1</v>
      </c>
      <c r="J62">
        <v>0.1</v>
      </c>
      <c r="K62">
        <v>1</v>
      </c>
      <c r="L62">
        <v>0.8</v>
      </c>
      <c r="M62">
        <v>0.1</v>
      </c>
      <c r="N62">
        <v>0.1</v>
      </c>
      <c r="O62">
        <v>0.9</v>
      </c>
      <c r="P62">
        <v>0.9</v>
      </c>
      <c r="Q62">
        <v>0.1</v>
      </c>
      <c r="R62">
        <v>0.1</v>
      </c>
      <c r="S62">
        <v>1</v>
      </c>
      <c r="T62">
        <v>0.8</v>
      </c>
      <c r="U62">
        <v>0.1</v>
      </c>
      <c r="V62">
        <v>0.1</v>
      </c>
      <c r="W62">
        <v>-0.15</v>
      </c>
      <c r="X62">
        <v>0.64100000000000001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0.9</v>
      </c>
      <c r="AT62">
        <v>0.1</v>
      </c>
      <c r="AU62">
        <v>0.1</v>
      </c>
      <c r="AV62">
        <v>1</v>
      </c>
      <c r="AW62">
        <v>0.22500000000000001</v>
      </c>
      <c r="AX62">
        <v>0.57899999999999996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4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4</v>
      </c>
      <c r="KN62">
        <v>3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1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2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2</v>
      </c>
      <c r="WA62">
        <v>1.5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</row>
    <row r="63" spans="1:656" x14ac:dyDescent="0.2">
      <c r="A63" t="s">
        <v>780</v>
      </c>
      <c r="B63" t="s">
        <v>781</v>
      </c>
      <c r="D63" t="s">
        <v>782</v>
      </c>
      <c r="E63" t="s">
        <v>660</v>
      </c>
      <c r="F63">
        <v>1</v>
      </c>
      <c r="G63">
        <v>0.9</v>
      </c>
      <c r="H63">
        <v>0.8</v>
      </c>
      <c r="I63">
        <v>0.1</v>
      </c>
      <c r="J63">
        <v>0.1</v>
      </c>
      <c r="K63">
        <v>1</v>
      </c>
      <c r="L63">
        <v>0.7</v>
      </c>
      <c r="M63">
        <v>0.1</v>
      </c>
      <c r="N63">
        <v>0.1</v>
      </c>
      <c r="O63">
        <v>0.9</v>
      </c>
      <c r="P63">
        <v>0.8</v>
      </c>
      <c r="Q63">
        <v>0.1</v>
      </c>
      <c r="R63">
        <v>0.1</v>
      </c>
      <c r="S63">
        <v>1</v>
      </c>
      <c r="T63">
        <v>0.7</v>
      </c>
      <c r="U63">
        <v>0.1</v>
      </c>
      <c r="V63">
        <v>0.1</v>
      </c>
      <c r="W63">
        <v>-0.27200000000000002</v>
      </c>
      <c r="X63">
        <v>0.60099999999999998</v>
      </c>
      <c r="AQ63">
        <v>0.9</v>
      </c>
      <c r="AR63">
        <v>0.1</v>
      </c>
      <c r="AS63">
        <v>0.8</v>
      </c>
      <c r="AT63">
        <v>0.2</v>
      </c>
      <c r="AU63">
        <v>0.1</v>
      </c>
      <c r="AV63">
        <v>0.9</v>
      </c>
      <c r="AW63">
        <v>0.15</v>
      </c>
      <c r="AX63">
        <v>0.53200000000000003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2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1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2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</row>
    <row r="64" spans="1:656" x14ac:dyDescent="0.2">
      <c r="A64" t="s">
        <v>783</v>
      </c>
      <c r="B64" t="s">
        <v>772</v>
      </c>
      <c r="D64" t="s">
        <v>698</v>
      </c>
      <c r="E64" t="s">
        <v>660</v>
      </c>
      <c r="F64">
        <v>3</v>
      </c>
      <c r="G64">
        <v>0.9</v>
      </c>
      <c r="H64">
        <v>0.83333333333333304</v>
      </c>
      <c r="I64">
        <v>0.133333333333333</v>
      </c>
      <c r="J64">
        <v>0.133333333333333</v>
      </c>
      <c r="K64">
        <v>0.96666666666666601</v>
      </c>
      <c r="L64">
        <v>0.73333333333333295</v>
      </c>
      <c r="M64">
        <v>0.33333333333333298</v>
      </c>
      <c r="N64">
        <v>0.3</v>
      </c>
      <c r="O64">
        <v>0.86666666666666603</v>
      </c>
      <c r="P64">
        <v>0.79999999999999905</v>
      </c>
      <c r="Q64">
        <v>0.36666666666666597</v>
      </c>
      <c r="R64">
        <v>0.33333333333333298</v>
      </c>
      <c r="S64">
        <v>0.73333333333333295</v>
      </c>
      <c r="T64">
        <v>0.6</v>
      </c>
      <c r="U64">
        <v>0.36666666666666597</v>
      </c>
      <c r="V64">
        <v>0.33333333333333298</v>
      </c>
      <c r="W64">
        <v>-5.0999999999999997E-2</v>
      </c>
      <c r="X64">
        <v>0.67233333333333301</v>
      </c>
      <c r="Y64">
        <v>0</v>
      </c>
      <c r="Z64">
        <v>5.7735026918962498E-2</v>
      </c>
      <c r="AA64">
        <v>5.7735026918962498E-2</v>
      </c>
      <c r="AB64">
        <v>5.7735026918962498E-2</v>
      </c>
      <c r="AC64">
        <v>5.7735026918962498E-2</v>
      </c>
      <c r="AD64">
        <v>5.7735026918962602E-2</v>
      </c>
      <c r="AE64">
        <v>0.404145188432738</v>
      </c>
      <c r="AF64">
        <v>0.34641016151377502</v>
      </c>
      <c r="AG64">
        <v>5.7735026918962498E-2</v>
      </c>
      <c r="AH64">
        <v>0.1</v>
      </c>
      <c r="AI64">
        <v>0.46188021535169999</v>
      </c>
      <c r="AJ64">
        <v>0.404145188432738</v>
      </c>
      <c r="AK64">
        <v>0.46188021535169999</v>
      </c>
      <c r="AL64">
        <v>0.26457513110645903</v>
      </c>
      <c r="AM64">
        <v>0.46188021535169999</v>
      </c>
      <c r="AN64">
        <v>0.404145188432738</v>
      </c>
      <c r="AO64">
        <v>0.28376222440628002</v>
      </c>
      <c r="AP64">
        <v>9.11336015602002E-2</v>
      </c>
      <c r="AQ64">
        <v>0.86666666666666603</v>
      </c>
      <c r="AR64">
        <v>0.1</v>
      </c>
      <c r="AS64">
        <v>0.8</v>
      </c>
      <c r="AT64">
        <v>0.266666666666666</v>
      </c>
      <c r="AU64">
        <v>0.133333333333333</v>
      </c>
      <c r="AV64">
        <v>0.9</v>
      </c>
      <c r="AW64">
        <v>0.13766666666666599</v>
      </c>
      <c r="AX64">
        <v>0.52400000000000002</v>
      </c>
      <c r="AY64">
        <v>5.7735026918962498E-2</v>
      </c>
      <c r="AZ64">
        <v>0</v>
      </c>
      <c r="BA64">
        <v>0</v>
      </c>
      <c r="BB64">
        <v>0.115470053837925</v>
      </c>
      <c r="BC64">
        <v>5.7735026918962498E-2</v>
      </c>
      <c r="BD64">
        <v>0</v>
      </c>
      <c r="BE64">
        <v>2.1361959960016101E-2</v>
      </c>
      <c r="BF64">
        <v>1.3856406460551E-2</v>
      </c>
      <c r="BG64">
        <v>2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2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4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2</v>
      </c>
      <c r="GN64">
        <v>0</v>
      </c>
      <c r="GO64">
        <v>0</v>
      </c>
      <c r="GP64">
        <v>2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0.66666666666666596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0.66666666666666596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1.3333333333333299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0.66666666666666596</v>
      </c>
      <c r="SA64">
        <v>0</v>
      </c>
      <c r="SB64">
        <v>0</v>
      </c>
      <c r="SC64">
        <v>0.66666666666666596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</row>
    <row r="65" spans="1:656" x14ac:dyDescent="0.2">
      <c r="A65" t="s">
        <v>784</v>
      </c>
      <c r="B65" t="s">
        <v>785</v>
      </c>
      <c r="D65" t="s">
        <v>786</v>
      </c>
      <c r="E65" t="s">
        <v>660</v>
      </c>
      <c r="F65">
        <v>4</v>
      </c>
      <c r="G65">
        <v>0.9</v>
      </c>
      <c r="H65">
        <v>0.77500000000000002</v>
      </c>
      <c r="I65">
        <v>0.35</v>
      </c>
      <c r="J65">
        <v>0.35</v>
      </c>
      <c r="K65">
        <v>0.95</v>
      </c>
      <c r="L65">
        <v>0.7</v>
      </c>
      <c r="M65">
        <v>0.55000000000000004</v>
      </c>
      <c r="N65">
        <v>0.5</v>
      </c>
      <c r="O65">
        <v>0.875</v>
      </c>
      <c r="P65">
        <v>0.77500000000000002</v>
      </c>
      <c r="Q65">
        <v>0.7</v>
      </c>
      <c r="R65">
        <v>0.72499999999999998</v>
      </c>
      <c r="S65">
        <v>0.67500000000000004</v>
      </c>
      <c r="T65">
        <v>0.625</v>
      </c>
      <c r="U65">
        <v>0.7</v>
      </c>
      <c r="V65">
        <v>0.72499999999999998</v>
      </c>
      <c r="W65">
        <v>0.43824999999999997</v>
      </c>
      <c r="X65">
        <v>0.82974999999999999</v>
      </c>
      <c r="Y65">
        <v>0</v>
      </c>
      <c r="Z65">
        <v>0.189296944860009</v>
      </c>
      <c r="AA65">
        <v>0.28867513459481198</v>
      </c>
      <c r="AB65">
        <v>0.28867513459481198</v>
      </c>
      <c r="AC65">
        <v>5.7735026918962498E-2</v>
      </c>
      <c r="AD65">
        <v>0.141421356237309</v>
      </c>
      <c r="AE65">
        <v>0.41231056256176601</v>
      </c>
      <c r="AF65">
        <v>0.35590260840104299</v>
      </c>
      <c r="AG65">
        <v>4.9999999999999899E-2</v>
      </c>
      <c r="AH65">
        <v>0.05</v>
      </c>
      <c r="AI65">
        <v>0.38297084310253499</v>
      </c>
      <c r="AJ65">
        <v>0.37749172176353701</v>
      </c>
      <c r="AK65">
        <v>0.20615528128088301</v>
      </c>
      <c r="AL65">
        <v>4.9999999999999899E-2</v>
      </c>
      <c r="AM65">
        <v>0.35590260840104299</v>
      </c>
      <c r="AN65">
        <v>0.340342964277702</v>
      </c>
      <c r="AO65">
        <v>0.568443708734646</v>
      </c>
      <c r="AP65">
        <v>0.18293236455039799</v>
      </c>
      <c r="AQ65">
        <v>0.9</v>
      </c>
      <c r="AR65">
        <v>0.125</v>
      </c>
      <c r="AS65">
        <v>0.8</v>
      </c>
      <c r="AT65">
        <v>0.4</v>
      </c>
      <c r="AU65">
        <v>0.125</v>
      </c>
      <c r="AV65">
        <v>0.97499999999999998</v>
      </c>
      <c r="AW65">
        <v>7.5249999999999997E-2</v>
      </c>
      <c r="AX65">
        <v>0.48399999999999999</v>
      </c>
      <c r="AY65">
        <v>8.1649658092772498E-2</v>
      </c>
      <c r="AZ65">
        <v>0.05</v>
      </c>
      <c r="BA65">
        <v>8.1649658092772595E-2</v>
      </c>
      <c r="BB65">
        <v>0.163299316185545</v>
      </c>
      <c r="BC65">
        <v>0.05</v>
      </c>
      <c r="BD65">
        <v>4.9999999999999899E-2</v>
      </c>
      <c r="BE65">
        <v>0.13343256723903599</v>
      </c>
      <c r="BF65">
        <v>8.4604964393349802E-2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5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6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2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5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0.25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1.25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1.5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1.5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2.75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0.5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1.25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</row>
    <row r="66" spans="1:656" x14ac:dyDescent="0.2">
      <c r="A66" t="s">
        <v>787</v>
      </c>
      <c r="B66" t="s">
        <v>730</v>
      </c>
      <c r="D66" t="s">
        <v>698</v>
      </c>
      <c r="E66" t="s">
        <v>660</v>
      </c>
      <c r="F66">
        <v>4</v>
      </c>
      <c r="G66">
        <v>0.9</v>
      </c>
      <c r="H66">
        <v>0.77500000000000002</v>
      </c>
      <c r="I66">
        <v>0.22500000000000001</v>
      </c>
      <c r="J66">
        <v>0.22500000000000001</v>
      </c>
      <c r="K66">
        <v>0.92500000000000004</v>
      </c>
      <c r="L66">
        <v>0.7</v>
      </c>
      <c r="M66">
        <v>0.35</v>
      </c>
      <c r="N66">
        <v>0.32500000000000001</v>
      </c>
      <c r="O66">
        <v>0.9</v>
      </c>
      <c r="P66">
        <v>0.72499999999999998</v>
      </c>
      <c r="Q66">
        <v>0.35</v>
      </c>
      <c r="R66">
        <v>0.4</v>
      </c>
      <c r="S66">
        <v>0.82499999999999996</v>
      </c>
      <c r="T66">
        <v>0.625</v>
      </c>
      <c r="U66">
        <v>0.4</v>
      </c>
      <c r="V66">
        <v>0.45</v>
      </c>
      <c r="W66">
        <v>4.1750000000000002E-2</v>
      </c>
      <c r="X66">
        <v>0.70250000000000001</v>
      </c>
      <c r="Y66">
        <v>0</v>
      </c>
      <c r="Z66">
        <v>0.125830573921179</v>
      </c>
      <c r="AA66">
        <v>0.25</v>
      </c>
      <c r="AB66">
        <v>0.25</v>
      </c>
      <c r="AC66">
        <v>4.9999999999999899E-2</v>
      </c>
      <c r="AD66">
        <v>8.1649658092772595E-2</v>
      </c>
      <c r="AE66">
        <v>0.36968455021364699</v>
      </c>
      <c r="AF66">
        <v>0.320156211871642</v>
      </c>
      <c r="AG66">
        <v>0</v>
      </c>
      <c r="AH66">
        <v>0.15</v>
      </c>
      <c r="AI66">
        <v>0.435889894354067</v>
      </c>
      <c r="AJ66">
        <v>0.42426406871192801</v>
      </c>
      <c r="AK66">
        <v>0.22173557826083401</v>
      </c>
      <c r="AL66">
        <v>9.5742710775633705E-2</v>
      </c>
      <c r="AM66">
        <v>0.4</v>
      </c>
      <c r="AN66">
        <v>0.37859388972001801</v>
      </c>
      <c r="AO66">
        <v>0.59361793268060903</v>
      </c>
      <c r="AP66">
        <v>0.19082365332071999</v>
      </c>
      <c r="AQ66">
        <v>0.92500000000000004</v>
      </c>
      <c r="AR66">
        <v>0.1</v>
      </c>
      <c r="AS66">
        <v>0.82499999999999996</v>
      </c>
      <c r="AT66">
        <v>0.17499999999999999</v>
      </c>
      <c r="AU66">
        <v>0.17499999999999999</v>
      </c>
      <c r="AV66">
        <v>0.8</v>
      </c>
      <c r="AW66">
        <v>0.23774999999999999</v>
      </c>
      <c r="AX66">
        <v>0.58750000000000002</v>
      </c>
      <c r="AY66">
        <v>4.9999999999999899E-2</v>
      </c>
      <c r="AZ66">
        <v>0</v>
      </c>
      <c r="BA66">
        <v>0.05</v>
      </c>
      <c r="BB66">
        <v>0.15</v>
      </c>
      <c r="BC66">
        <v>0.05</v>
      </c>
      <c r="BD66">
        <v>0.39999999999999902</v>
      </c>
      <c r="BE66">
        <v>0.20701268077100901</v>
      </c>
      <c r="BF66">
        <v>0.13145721737508301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3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6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2</v>
      </c>
      <c r="JN66">
        <v>2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2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1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0.25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0.5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0.75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1.5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0.5</v>
      </c>
      <c r="VA66">
        <v>0.5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0.5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0.25</v>
      </c>
      <c r="YD66">
        <v>0</v>
      </c>
      <c r="YE66">
        <v>0</v>
      </c>
      <c r="YF66">
        <v>0</v>
      </c>
    </row>
    <row r="67" spans="1:656" x14ac:dyDescent="0.2">
      <c r="A67" t="s">
        <v>788</v>
      </c>
      <c r="B67" t="s">
        <v>789</v>
      </c>
      <c r="D67" t="s">
        <v>698</v>
      </c>
      <c r="E67" t="s">
        <v>660</v>
      </c>
      <c r="F67">
        <v>4</v>
      </c>
      <c r="G67">
        <v>0.9</v>
      </c>
      <c r="H67">
        <v>0.875</v>
      </c>
      <c r="I67">
        <v>0.47499999999999998</v>
      </c>
      <c r="J67">
        <v>0.47499999999999998</v>
      </c>
      <c r="K67">
        <v>1</v>
      </c>
      <c r="L67">
        <v>0.77500000000000002</v>
      </c>
      <c r="M67">
        <v>0.7</v>
      </c>
      <c r="N67">
        <v>0.625</v>
      </c>
      <c r="O67">
        <v>0.9</v>
      </c>
      <c r="P67">
        <v>0.8</v>
      </c>
      <c r="Q67">
        <v>0.77500000000000002</v>
      </c>
      <c r="R67">
        <v>0.77500000000000002</v>
      </c>
      <c r="S67">
        <v>0.625</v>
      </c>
      <c r="T67">
        <v>0.625</v>
      </c>
      <c r="U67">
        <v>0.77500000000000002</v>
      </c>
      <c r="V67">
        <v>0.77500000000000002</v>
      </c>
      <c r="W67">
        <v>0.62949999999999995</v>
      </c>
      <c r="X67">
        <v>0.89124999999999999</v>
      </c>
      <c r="Y67">
        <v>0</v>
      </c>
      <c r="Z67">
        <v>0.05</v>
      </c>
      <c r="AA67">
        <v>0.25</v>
      </c>
      <c r="AB67">
        <v>0.25</v>
      </c>
      <c r="AC67">
        <v>0</v>
      </c>
      <c r="AD67">
        <v>0.05</v>
      </c>
      <c r="AE67">
        <v>0.4</v>
      </c>
      <c r="AF67">
        <v>0.35</v>
      </c>
      <c r="AG67">
        <v>0</v>
      </c>
      <c r="AH67">
        <v>0</v>
      </c>
      <c r="AI67">
        <v>0.45</v>
      </c>
      <c r="AJ67">
        <v>0.45</v>
      </c>
      <c r="AK67">
        <v>0.25</v>
      </c>
      <c r="AL67">
        <v>0.05</v>
      </c>
      <c r="AM67">
        <v>0.45</v>
      </c>
      <c r="AN67">
        <v>0.45</v>
      </c>
      <c r="AO67">
        <v>0.60099999999999998</v>
      </c>
      <c r="AP67">
        <v>0.19350000000000001</v>
      </c>
      <c r="AQ67">
        <v>0.9</v>
      </c>
      <c r="AR67">
        <v>0.1</v>
      </c>
      <c r="AS67">
        <v>0.8</v>
      </c>
      <c r="AT67">
        <v>0.35</v>
      </c>
      <c r="AU67">
        <v>0.1</v>
      </c>
      <c r="AV67">
        <v>0.97499999999999998</v>
      </c>
      <c r="AW67">
        <v>8.4749999999999895E-2</v>
      </c>
      <c r="AX67">
        <v>0.49</v>
      </c>
      <c r="AY67">
        <v>0</v>
      </c>
      <c r="AZ67">
        <v>0</v>
      </c>
      <c r="BA67">
        <v>0</v>
      </c>
      <c r="BB67">
        <v>0.1</v>
      </c>
      <c r="BC67">
        <v>0</v>
      </c>
      <c r="BD67">
        <v>4.9999999999999899E-2</v>
      </c>
      <c r="BE67">
        <v>4.3499999999999997E-2</v>
      </c>
      <c r="BF67">
        <v>2.8000000000000001E-2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3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6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2</v>
      </c>
      <c r="IO67">
        <v>0</v>
      </c>
      <c r="IP67">
        <v>2</v>
      </c>
      <c r="IQ67">
        <v>0</v>
      </c>
      <c r="IR67">
        <v>0</v>
      </c>
      <c r="IS67">
        <v>0</v>
      </c>
      <c r="IT67">
        <v>0</v>
      </c>
      <c r="IU67">
        <v>2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2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2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4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0.75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1.5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0.5</v>
      </c>
      <c r="UB67">
        <v>0</v>
      </c>
      <c r="UC67">
        <v>0.5</v>
      </c>
      <c r="UD67">
        <v>0</v>
      </c>
      <c r="UE67">
        <v>0</v>
      </c>
      <c r="UF67">
        <v>0</v>
      </c>
      <c r="UG67">
        <v>0</v>
      </c>
      <c r="UH67">
        <v>0.5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0.5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0.5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1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</row>
    <row r="68" spans="1:656" x14ac:dyDescent="0.2">
      <c r="A68" t="s">
        <v>790</v>
      </c>
      <c r="B68" t="s">
        <v>791</v>
      </c>
      <c r="C68" t="s">
        <v>678</v>
      </c>
      <c r="D68" t="s">
        <v>792</v>
      </c>
      <c r="E68" t="s">
        <v>660</v>
      </c>
      <c r="F68">
        <v>3</v>
      </c>
      <c r="G68">
        <v>0.9</v>
      </c>
      <c r="H68">
        <v>0.8</v>
      </c>
      <c r="I68">
        <v>0.1</v>
      </c>
      <c r="J68">
        <v>0.1</v>
      </c>
      <c r="K68">
        <v>0.96666666666666601</v>
      </c>
      <c r="L68">
        <v>0.69999999999999896</v>
      </c>
      <c r="M68">
        <v>0.1</v>
      </c>
      <c r="N68">
        <v>0.1</v>
      </c>
      <c r="O68">
        <v>0.9</v>
      </c>
      <c r="P68">
        <v>0.8</v>
      </c>
      <c r="Q68">
        <v>0.1</v>
      </c>
      <c r="R68">
        <v>0.1</v>
      </c>
      <c r="S68">
        <v>0.96666666666666601</v>
      </c>
      <c r="T68">
        <v>0.69999999999999896</v>
      </c>
      <c r="U68">
        <v>0.1</v>
      </c>
      <c r="V68">
        <v>0.1</v>
      </c>
      <c r="W68">
        <v>-0.28699999999999998</v>
      </c>
      <c r="X68">
        <v>0.59633333333333305</v>
      </c>
      <c r="Y68">
        <v>0</v>
      </c>
      <c r="Z68">
        <v>0</v>
      </c>
      <c r="AA68">
        <v>0</v>
      </c>
      <c r="AB68">
        <v>0</v>
      </c>
      <c r="AC68">
        <v>5.7735026918962498E-2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5.7735026918962498E-2</v>
      </c>
      <c r="AL68">
        <v>0</v>
      </c>
      <c r="AM68">
        <v>0</v>
      </c>
      <c r="AN68">
        <v>0</v>
      </c>
      <c r="AO68">
        <v>2.5980762113533101E-2</v>
      </c>
      <c r="AP68">
        <v>8.0829037686547707E-3</v>
      </c>
      <c r="AQ68">
        <v>0.9</v>
      </c>
      <c r="AR68">
        <v>0.1</v>
      </c>
      <c r="AS68">
        <v>0.83333333333333304</v>
      </c>
      <c r="AT68">
        <v>0.16666666666666599</v>
      </c>
      <c r="AU68">
        <v>0.133333333333333</v>
      </c>
      <c r="AV68">
        <v>0.9</v>
      </c>
      <c r="AW68">
        <v>0.18333333333333299</v>
      </c>
      <c r="AX68">
        <v>0.55300000000000005</v>
      </c>
      <c r="AY68">
        <v>0</v>
      </c>
      <c r="AZ68">
        <v>0</v>
      </c>
      <c r="BA68">
        <v>5.7735026918962498E-2</v>
      </c>
      <c r="BB68">
        <v>5.7735026918962498E-2</v>
      </c>
      <c r="BC68">
        <v>5.7735026918962498E-2</v>
      </c>
      <c r="BD68">
        <v>0</v>
      </c>
      <c r="BE68">
        <v>5.7735026918962498E-2</v>
      </c>
      <c r="BF68">
        <v>3.6373066958946397E-2</v>
      </c>
      <c r="BG68">
        <v>4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3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1.3333333333333299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0.66666666666666596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0.66666666666666596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0.33333333333333298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0.66666666666666596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1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</row>
    <row r="69" spans="1:656" x14ac:dyDescent="0.2">
      <c r="A69" t="s">
        <v>793</v>
      </c>
      <c r="B69" t="s">
        <v>794</v>
      </c>
      <c r="C69" t="s">
        <v>658</v>
      </c>
      <c r="D69" t="s">
        <v>795</v>
      </c>
      <c r="E69" t="s">
        <v>693</v>
      </c>
      <c r="F69">
        <v>1</v>
      </c>
      <c r="G69">
        <v>0.9</v>
      </c>
      <c r="H69">
        <v>0.8</v>
      </c>
      <c r="I69">
        <v>0.4</v>
      </c>
      <c r="J69">
        <v>0.4</v>
      </c>
      <c r="K69">
        <v>0.9</v>
      </c>
      <c r="L69">
        <v>0.7</v>
      </c>
      <c r="M69">
        <v>0.8</v>
      </c>
      <c r="N69">
        <v>0.7</v>
      </c>
      <c r="O69">
        <v>0.8</v>
      </c>
      <c r="P69">
        <v>0.7</v>
      </c>
      <c r="Q69">
        <v>0.9</v>
      </c>
      <c r="R69">
        <v>0.8</v>
      </c>
      <c r="S69">
        <v>0.3</v>
      </c>
      <c r="T69">
        <v>0.4</v>
      </c>
      <c r="U69">
        <v>0.9</v>
      </c>
      <c r="V69">
        <v>0.8</v>
      </c>
      <c r="W69">
        <v>0.40500000000000003</v>
      </c>
      <c r="X69">
        <v>0.81899999999999995</v>
      </c>
      <c r="AQ69">
        <v>0.8</v>
      </c>
      <c r="AR69">
        <v>0.2</v>
      </c>
      <c r="AS69">
        <v>0.9</v>
      </c>
      <c r="AT69">
        <v>0.4</v>
      </c>
      <c r="AU69">
        <v>0.2</v>
      </c>
      <c r="AV69">
        <v>1</v>
      </c>
      <c r="AW69">
        <v>8.7999999999999995E-2</v>
      </c>
      <c r="AX69">
        <v>0.49199999999999999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2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4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2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2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4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</row>
    <row r="70" spans="1:656" x14ac:dyDescent="0.2">
      <c r="A70" t="s">
        <v>796</v>
      </c>
      <c r="B70" t="s">
        <v>789</v>
      </c>
      <c r="D70" t="s">
        <v>797</v>
      </c>
      <c r="E70" t="s">
        <v>693</v>
      </c>
      <c r="F70">
        <v>1</v>
      </c>
      <c r="G70">
        <v>0.9</v>
      </c>
      <c r="H70">
        <v>0.8</v>
      </c>
      <c r="I70">
        <v>0.1</v>
      </c>
      <c r="J70">
        <v>0.1</v>
      </c>
      <c r="K70">
        <v>1</v>
      </c>
      <c r="L70">
        <v>0.7</v>
      </c>
      <c r="M70">
        <v>0.1</v>
      </c>
      <c r="N70">
        <v>0.1</v>
      </c>
      <c r="O70">
        <v>0.9</v>
      </c>
      <c r="P70">
        <v>0.8</v>
      </c>
      <c r="Q70">
        <v>0.1</v>
      </c>
      <c r="R70">
        <v>0.1</v>
      </c>
      <c r="S70">
        <v>1</v>
      </c>
      <c r="T70">
        <v>0.7</v>
      </c>
      <c r="U70">
        <v>0.1</v>
      </c>
      <c r="V70">
        <v>0.1</v>
      </c>
      <c r="W70">
        <v>-0.27200000000000002</v>
      </c>
      <c r="X70">
        <v>0.60099999999999998</v>
      </c>
      <c r="AQ70">
        <v>0.9</v>
      </c>
      <c r="AR70">
        <v>0.1</v>
      </c>
      <c r="AS70">
        <v>0.8</v>
      </c>
      <c r="AT70">
        <v>0.2</v>
      </c>
      <c r="AU70">
        <v>0.1</v>
      </c>
      <c r="AV70">
        <v>0.9</v>
      </c>
      <c r="AW70">
        <v>0.15</v>
      </c>
      <c r="AX70">
        <v>0.53200000000000003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4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2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1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4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2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</row>
    <row r="71" spans="1:656" x14ac:dyDescent="0.2">
      <c r="A71" t="s">
        <v>798</v>
      </c>
      <c r="B71" t="s">
        <v>799</v>
      </c>
      <c r="C71" t="s">
        <v>683</v>
      </c>
      <c r="D71" t="s">
        <v>664</v>
      </c>
      <c r="E71" t="s">
        <v>660</v>
      </c>
      <c r="F71">
        <v>5</v>
      </c>
      <c r="G71">
        <v>0.9</v>
      </c>
      <c r="H71">
        <v>0.82</v>
      </c>
      <c r="I71">
        <v>0.31999999999999901</v>
      </c>
      <c r="J71">
        <v>0.3</v>
      </c>
      <c r="K71">
        <v>0.94</v>
      </c>
      <c r="L71">
        <v>0.67999999999999905</v>
      </c>
      <c r="M71">
        <v>0.42</v>
      </c>
      <c r="N71">
        <v>0.38</v>
      </c>
      <c r="O71">
        <v>0.88</v>
      </c>
      <c r="P71">
        <v>0.78</v>
      </c>
      <c r="Q71">
        <v>0.44</v>
      </c>
      <c r="R71">
        <v>0.42</v>
      </c>
      <c r="S71">
        <v>0.74</v>
      </c>
      <c r="T71">
        <v>0.6</v>
      </c>
      <c r="U71">
        <v>0.44</v>
      </c>
      <c r="V71">
        <v>0.42</v>
      </c>
      <c r="W71">
        <v>9.5000000000000001E-2</v>
      </c>
      <c r="X71">
        <v>0.71919999999999995</v>
      </c>
      <c r="Y71">
        <v>0</v>
      </c>
      <c r="Z71">
        <v>4.4721359549995697E-2</v>
      </c>
      <c r="AA71">
        <v>0.30331501776206199</v>
      </c>
      <c r="AB71">
        <v>0.27386127875258298</v>
      </c>
      <c r="AC71">
        <v>5.4772255750516502E-2</v>
      </c>
      <c r="AD71">
        <v>8.3666002653407498E-2</v>
      </c>
      <c r="AE71">
        <v>0.43817804600413202</v>
      </c>
      <c r="AF71">
        <v>0.38340579025361599</v>
      </c>
      <c r="AG71">
        <v>4.4721359549995801E-2</v>
      </c>
      <c r="AH71">
        <v>4.4721359549995801E-2</v>
      </c>
      <c r="AI71">
        <v>0.46690470119715</v>
      </c>
      <c r="AJ71">
        <v>0.44384682042344198</v>
      </c>
      <c r="AK71">
        <v>0.270185121722125</v>
      </c>
      <c r="AL71">
        <v>7.0710678118654696E-2</v>
      </c>
      <c r="AM71">
        <v>0.46690470119715</v>
      </c>
      <c r="AN71">
        <v>0.44384682042344198</v>
      </c>
      <c r="AO71">
        <v>0.61864691060410204</v>
      </c>
      <c r="AP71">
        <v>0.19917379345687</v>
      </c>
      <c r="AQ71">
        <v>0.9</v>
      </c>
      <c r="AR71">
        <v>0.1</v>
      </c>
      <c r="AS71">
        <v>0.8</v>
      </c>
      <c r="AT71">
        <v>0.28000000000000003</v>
      </c>
      <c r="AU71">
        <v>0.18</v>
      </c>
      <c r="AV71">
        <v>0.94</v>
      </c>
      <c r="AW71">
        <v>0.1454</v>
      </c>
      <c r="AX71">
        <v>0.52880000000000005</v>
      </c>
      <c r="AY71">
        <v>0</v>
      </c>
      <c r="AZ71">
        <v>0</v>
      </c>
      <c r="BA71">
        <v>7.0710678118654696E-2</v>
      </c>
      <c r="BB71">
        <v>0.109544511501033</v>
      </c>
      <c r="BC71">
        <v>8.3666002653407498E-2</v>
      </c>
      <c r="BD71">
        <v>5.4772255750516599E-2</v>
      </c>
      <c r="BE71">
        <v>5.5554477767323099E-2</v>
      </c>
      <c r="BF71">
        <v>3.55977527380592E-2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4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4</v>
      </c>
      <c r="EO71">
        <v>6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</v>
      </c>
      <c r="FB71">
        <v>4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2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9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4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3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0.8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0.8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0.8</v>
      </c>
      <c r="QB71">
        <v>1.2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0.8</v>
      </c>
      <c r="QO71">
        <v>0.8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0.4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1.8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0.8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0.6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</row>
    <row r="72" spans="1:656" x14ac:dyDescent="0.2">
      <c r="A72" t="s">
        <v>800</v>
      </c>
      <c r="B72" t="s">
        <v>801</v>
      </c>
      <c r="C72" t="s">
        <v>658</v>
      </c>
      <c r="D72" t="s">
        <v>746</v>
      </c>
      <c r="E72" t="s">
        <v>747</v>
      </c>
      <c r="F72">
        <v>3</v>
      </c>
      <c r="G72">
        <v>0.86666666666666603</v>
      </c>
      <c r="H72">
        <v>0.79999999999999905</v>
      </c>
      <c r="I72">
        <v>0.46666666666666601</v>
      </c>
      <c r="J72">
        <v>0.46666666666666601</v>
      </c>
      <c r="K72">
        <v>0.93333333333333302</v>
      </c>
      <c r="L72">
        <v>0.7</v>
      </c>
      <c r="M72">
        <v>0.7</v>
      </c>
      <c r="N72">
        <v>0.63333333333333297</v>
      </c>
      <c r="O72">
        <v>0.76666666666666605</v>
      </c>
      <c r="P72">
        <v>0.76666666666666605</v>
      </c>
      <c r="Q72">
        <v>0.86666666666666603</v>
      </c>
      <c r="R72">
        <v>0.83333333333333304</v>
      </c>
      <c r="S72">
        <v>0.46666666666666601</v>
      </c>
      <c r="T72">
        <v>0.66666666666666596</v>
      </c>
      <c r="U72">
        <v>0.9</v>
      </c>
      <c r="V72">
        <v>0.86666666666666603</v>
      </c>
      <c r="W72">
        <v>0.60899999999999999</v>
      </c>
      <c r="X72">
        <v>0.88466666666666605</v>
      </c>
      <c r="Y72">
        <v>5.7735026918962498E-2</v>
      </c>
      <c r="Z72">
        <v>0.17320508075688701</v>
      </c>
      <c r="AA72">
        <v>0.23094010767584999</v>
      </c>
      <c r="AB72">
        <v>0.23094010767584999</v>
      </c>
      <c r="AC72">
        <v>5.7735026918962498E-2</v>
      </c>
      <c r="AD72">
        <v>0.17320508075688701</v>
      </c>
      <c r="AE72">
        <v>0.34641016151377502</v>
      </c>
      <c r="AF72">
        <v>0.28867513459481198</v>
      </c>
      <c r="AG72">
        <v>0.23094010767584999</v>
      </c>
      <c r="AH72">
        <v>5.7735026918962602E-2</v>
      </c>
      <c r="AI72">
        <v>0.152752523165194</v>
      </c>
      <c r="AJ72">
        <v>0.152752523165194</v>
      </c>
      <c r="AK72">
        <v>5.7735026918962498E-2</v>
      </c>
      <c r="AL72">
        <v>0.115470053837925</v>
      </c>
      <c r="AM72">
        <v>9.9999999999999895E-2</v>
      </c>
      <c r="AN72">
        <v>0.115470053837925</v>
      </c>
      <c r="AO72">
        <v>0.40716949787527001</v>
      </c>
      <c r="AP72">
        <v>0.13124150766176501</v>
      </c>
      <c r="AQ72">
        <v>0.9</v>
      </c>
      <c r="AR72">
        <v>0.1</v>
      </c>
      <c r="AS72">
        <v>0.83333333333333304</v>
      </c>
      <c r="AT72">
        <v>0.3</v>
      </c>
      <c r="AU72">
        <v>0.4</v>
      </c>
      <c r="AV72">
        <v>0.7</v>
      </c>
      <c r="AW72">
        <v>0.32533333333333297</v>
      </c>
      <c r="AX72">
        <v>0.64300000000000002</v>
      </c>
      <c r="AY72">
        <v>0</v>
      </c>
      <c r="AZ72">
        <v>0</v>
      </c>
      <c r="BA72">
        <v>0.152752523165194</v>
      </c>
      <c r="BB72">
        <v>9.9999999999999895E-2</v>
      </c>
      <c r="BC72">
        <v>0.435889894354067</v>
      </c>
      <c r="BD72">
        <v>0.435889894354067</v>
      </c>
      <c r="BE72">
        <v>0.401878505687145</v>
      </c>
      <c r="BF72">
        <v>0.25539577130406799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2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2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9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2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0.33333333333333298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0.66666666666666596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0.66666666666666596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1.3333333333333299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3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0.33333333333333298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0.66666666666666596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</row>
    <row r="73" spans="1:656" x14ac:dyDescent="0.2">
      <c r="A73" t="s">
        <v>802</v>
      </c>
      <c r="B73" t="s">
        <v>753</v>
      </c>
      <c r="C73" t="s">
        <v>754</v>
      </c>
      <c r="D73" t="s">
        <v>664</v>
      </c>
      <c r="E73" t="s">
        <v>660</v>
      </c>
      <c r="F73">
        <v>1</v>
      </c>
      <c r="G73">
        <v>0.9</v>
      </c>
      <c r="H73">
        <v>0.8</v>
      </c>
      <c r="I73">
        <v>0.1</v>
      </c>
      <c r="J73">
        <v>0.1</v>
      </c>
      <c r="K73">
        <v>1</v>
      </c>
      <c r="L73">
        <v>0.7</v>
      </c>
      <c r="M73">
        <v>0.1</v>
      </c>
      <c r="N73">
        <v>0.1</v>
      </c>
      <c r="O73">
        <v>0.9</v>
      </c>
      <c r="P73">
        <v>0.8</v>
      </c>
      <c r="Q73">
        <v>0.1</v>
      </c>
      <c r="R73">
        <v>0.1</v>
      </c>
      <c r="S73">
        <v>1</v>
      </c>
      <c r="T73">
        <v>0.7</v>
      </c>
      <c r="U73">
        <v>0.1</v>
      </c>
      <c r="V73">
        <v>0.1</v>
      </c>
      <c r="W73">
        <v>-0.27200000000000002</v>
      </c>
      <c r="X73">
        <v>0.60099999999999998</v>
      </c>
      <c r="AQ73">
        <v>0.9</v>
      </c>
      <c r="AR73">
        <v>0.1</v>
      </c>
      <c r="AS73">
        <v>0.8</v>
      </c>
      <c r="AT73">
        <v>0.2</v>
      </c>
      <c r="AU73">
        <v>0.1</v>
      </c>
      <c r="AV73">
        <v>0.9</v>
      </c>
      <c r="AW73">
        <v>0.15</v>
      </c>
      <c r="AX73">
        <v>0.53200000000000003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2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2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2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2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2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2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</row>
    <row r="74" spans="1:656" x14ac:dyDescent="0.2">
      <c r="A74" t="s">
        <v>803</v>
      </c>
      <c r="D74" t="s">
        <v>702</v>
      </c>
      <c r="E74" t="s">
        <v>660</v>
      </c>
    </row>
    <row r="75" spans="1:656" x14ac:dyDescent="0.2">
      <c r="A75" t="s">
        <v>804</v>
      </c>
      <c r="B75" t="s">
        <v>753</v>
      </c>
      <c r="C75" t="s">
        <v>754</v>
      </c>
      <c r="D75" t="s">
        <v>664</v>
      </c>
      <c r="E75" t="s">
        <v>660</v>
      </c>
      <c r="F75">
        <v>6</v>
      </c>
      <c r="G75">
        <v>0.9</v>
      </c>
      <c r="H75">
        <v>0.81666666666666599</v>
      </c>
      <c r="I75">
        <v>0.19999999999999901</v>
      </c>
      <c r="J75">
        <v>0.19999999999999901</v>
      </c>
      <c r="K75">
        <v>0.93333333333333302</v>
      </c>
      <c r="L75">
        <v>0.71666666666666601</v>
      </c>
      <c r="M75">
        <v>0.25</v>
      </c>
      <c r="N75">
        <v>0.233333333333333</v>
      </c>
      <c r="O75">
        <v>0.9</v>
      </c>
      <c r="P75">
        <v>0.8</v>
      </c>
      <c r="Q75">
        <v>0.25</v>
      </c>
      <c r="R75">
        <v>0.25</v>
      </c>
      <c r="S75">
        <v>0.88333333333333297</v>
      </c>
      <c r="T75">
        <v>0.69999999999999896</v>
      </c>
      <c r="U75">
        <v>0.25</v>
      </c>
      <c r="V75">
        <v>0.233333333333333</v>
      </c>
      <c r="W75">
        <v>-7.9666666666666594E-2</v>
      </c>
      <c r="X75">
        <v>0.66299999999999903</v>
      </c>
      <c r="Y75">
        <v>0</v>
      </c>
      <c r="Z75">
        <v>4.08248290463862E-2</v>
      </c>
      <c r="AA75">
        <v>0.19999999999999901</v>
      </c>
      <c r="AB75">
        <v>0.19999999999999901</v>
      </c>
      <c r="AC75">
        <v>8.1649658092772498E-2</v>
      </c>
      <c r="AD75">
        <v>4.0824829046386298E-2</v>
      </c>
      <c r="AE75">
        <v>0.28106938645110302</v>
      </c>
      <c r="AF75">
        <v>0.24221202832779901</v>
      </c>
      <c r="AG75">
        <v>0</v>
      </c>
      <c r="AH75">
        <v>0</v>
      </c>
      <c r="AI75">
        <v>0.28106938645110302</v>
      </c>
      <c r="AJ75">
        <v>0.28106938645110302</v>
      </c>
      <c r="AK75">
        <v>0.16020819787597201</v>
      </c>
      <c r="AL75">
        <v>0</v>
      </c>
      <c r="AM75">
        <v>0.28106938645110302</v>
      </c>
      <c r="AN75">
        <v>0.24221202832779901</v>
      </c>
      <c r="AO75">
        <v>0.39748140417718397</v>
      </c>
      <c r="AP75">
        <v>0.127974997558116</v>
      </c>
      <c r="AQ75">
        <v>0.9</v>
      </c>
      <c r="AR75">
        <v>8.3333333333333301E-2</v>
      </c>
      <c r="AS75">
        <v>0.81666666666666599</v>
      </c>
      <c r="AT75">
        <v>0.15</v>
      </c>
      <c r="AU75">
        <v>0.5</v>
      </c>
      <c r="AV75">
        <v>0.51666666666666605</v>
      </c>
      <c r="AW75">
        <v>0.46683333333333299</v>
      </c>
      <c r="AX75">
        <v>0.732833333333333</v>
      </c>
      <c r="AY75">
        <v>6.3245553203367499E-2</v>
      </c>
      <c r="AZ75">
        <v>4.0824829046386298E-2</v>
      </c>
      <c r="BA75">
        <v>9.8319208025017493E-2</v>
      </c>
      <c r="BB75">
        <v>5.4772255750516599E-2</v>
      </c>
      <c r="BC75">
        <v>0.316227766016837</v>
      </c>
      <c r="BD75">
        <v>0.318852107828483</v>
      </c>
      <c r="BE75">
        <v>0.25548496368018703</v>
      </c>
      <c r="BF75">
        <v>0.161984464275641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3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4</v>
      </c>
      <c r="IY75">
        <v>0</v>
      </c>
      <c r="IZ75">
        <v>0</v>
      </c>
      <c r="JA75">
        <v>0</v>
      </c>
      <c r="JB75">
        <v>2</v>
      </c>
      <c r="JC75">
        <v>0</v>
      </c>
      <c r="JD75">
        <v>4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2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3</v>
      </c>
      <c r="KZ75">
        <v>0</v>
      </c>
      <c r="LA75">
        <v>0</v>
      </c>
      <c r="LB75">
        <v>0</v>
      </c>
      <c r="LC75">
        <v>0</v>
      </c>
      <c r="LD75">
        <v>3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0.5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0.66666666666666596</v>
      </c>
      <c r="UL75">
        <v>0</v>
      </c>
      <c r="UM75">
        <v>0</v>
      </c>
      <c r="UN75">
        <v>0</v>
      </c>
      <c r="UO75">
        <v>0.33333333333333298</v>
      </c>
      <c r="UP75">
        <v>0</v>
      </c>
      <c r="UQ75">
        <v>0.66666666666666596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0.33333333333333298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0.5</v>
      </c>
      <c r="WM75">
        <v>0</v>
      </c>
      <c r="WN75">
        <v>0</v>
      </c>
      <c r="WO75">
        <v>0</v>
      </c>
      <c r="WP75">
        <v>0</v>
      </c>
      <c r="WQ75">
        <v>0.5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</row>
    <row r="76" spans="1:656" x14ac:dyDescent="0.2">
      <c r="A76" t="s">
        <v>805</v>
      </c>
      <c r="B76" t="s">
        <v>806</v>
      </c>
      <c r="C76" t="s">
        <v>683</v>
      </c>
      <c r="D76" t="s">
        <v>807</v>
      </c>
      <c r="E76" t="s">
        <v>808</v>
      </c>
      <c r="F76">
        <v>3</v>
      </c>
      <c r="G76">
        <v>0.9</v>
      </c>
      <c r="H76">
        <v>0.76666666666666605</v>
      </c>
      <c r="I76">
        <v>0.1</v>
      </c>
      <c r="J76">
        <v>0.1</v>
      </c>
      <c r="K76">
        <v>0.93333333333333302</v>
      </c>
      <c r="L76">
        <v>0.63333333333333297</v>
      </c>
      <c r="M76">
        <v>0.1</v>
      </c>
      <c r="N76">
        <v>0.1</v>
      </c>
      <c r="O76">
        <v>0.9</v>
      </c>
      <c r="P76">
        <v>0.76666666666666605</v>
      </c>
      <c r="Q76">
        <v>0.1</v>
      </c>
      <c r="R76">
        <v>0.1</v>
      </c>
      <c r="S76">
        <v>0.93333333333333302</v>
      </c>
      <c r="T76">
        <v>0.63333333333333297</v>
      </c>
      <c r="U76">
        <v>0.1</v>
      </c>
      <c r="V76">
        <v>0.1</v>
      </c>
      <c r="W76">
        <v>-0.36499999999999999</v>
      </c>
      <c r="X76">
        <v>0.57099999999999995</v>
      </c>
      <c r="Y76">
        <v>0</v>
      </c>
      <c r="Z76">
        <v>5.7735026918962602E-2</v>
      </c>
      <c r="AA76">
        <v>0</v>
      </c>
      <c r="AB76">
        <v>0</v>
      </c>
      <c r="AC76">
        <v>0.115470053837925</v>
      </c>
      <c r="AD76">
        <v>0.115470053837925</v>
      </c>
      <c r="AE76">
        <v>0</v>
      </c>
      <c r="AF76">
        <v>0</v>
      </c>
      <c r="AG76">
        <v>0</v>
      </c>
      <c r="AH76">
        <v>5.7735026918962602E-2</v>
      </c>
      <c r="AI76">
        <v>0</v>
      </c>
      <c r="AJ76">
        <v>0</v>
      </c>
      <c r="AK76">
        <v>0.115470053837925</v>
      </c>
      <c r="AL76">
        <v>0.115470053837925</v>
      </c>
      <c r="AM76">
        <v>0</v>
      </c>
      <c r="AN76">
        <v>0</v>
      </c>
      <c r="AO76">
        <v>0.161080725103905</v>
      </c>
      <c r="AP76">
        <v>5.1961524227066201E-2</v>
      </c>
      <c r="AQ76">
        <v>0.7</v>
      </c>
      <c r="AR76">
        <v>0.3</v>
      </c>
      <c r="AS76">
        <v>0.6</v>
      </c>
      <c r="AT76">
        <v>0.43333333333333302</v>
      </c>
      <c r="AU76">
        <v>0.1</v>
      </c>
      <c r="AV76">
        <v>0.9</v>
      </c>
      <c r="AW76">
        <v>-8.3333333333333301E-2</v>
      </c>
      <c r="AX76">
        <v>0.38366666666666599</v>
      </c>
      <c r="AY76">
        <v>0.34641016151377502</v>
      </c>
      <c r="AZ76">
        <v>0.34641016151377502</v>
      </c>
      <c r="BA76">
        <v>0.34641016151377502</v>
      </c>
      <c r="BB76">
        <v>0.404145188432738</v>
      </c>
      <c r="BC76">
        <v>0</v>
      </c>
      <c r="BD76">
        <v>0</v>
      </c>
      <c r="BE76">
        <v>0.404145188432738</v>
      </c>
      <c r="BF76">
        <v>0.256920869789383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1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6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2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1</v>
      </c>
      <c r="LA76">
        <v>0</v>
      </c>
      <c r="LB76">
        <v>0</v>
      </c>
      <c r="LC76">
        <v>0</v>
      </c>
      <c r="LD76">
        <v>0</v>
      </c>
      <c r="LE76">
        <v>2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1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1.3333333333333299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1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0.66666666666666596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0.33333333333333298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0.66666666666666596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2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0.66666666666666596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0.66666666666666596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0.33333333333333298</v>
      </c>
      <c r="WN76">
        <v>0</v>
      </c>
      <c r="WO76">
        <v>0</v>
      </c>
      <c r="WP76">
        <v>0</v>
      </c>
      <c r="WQ76">
        <v>0</v>
      </c>
      <c r="WR76">
        <v>0.66666666666666596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</row>
    <row r="77" spans="1:656" x14ac:dyDescent="0.2">
      <c r="A77" t="s">
        <v>809</v>
      </c>
      <c r="B77" t="s">
        <v>772</v>
      </c>
      <c r="C77" t="s">
        <v>658</v>
      </c>
      <c r="D77" t="s">
        <v>664</v>
      </c>
      <c r="E77" t="s">
        <v>660</v>
      </c>
      <c r="F77">
        <v>3</v>
      </c>
      <c r="G77">
        <v>0.9</v>
      </c>
      <c r="H77">
        <v>0.83333333333333304</v>
      </c>
      <c r="I77">
        <v>0.53333333333333299</v>
      </c>
      <c r="J77">
        <v>0.5</v>
      </c>
      <c r="K77">
        <v>0.93333333333333302</v>
      </c>
      <c r="L77">
        <v>0.73333333333333295</v>
      </c>
      <c r="M77">
        <v>0.63333333333333297</v>
      </c>
      <c r="N77">
        <v>0.6</v>
      </c>
      <c r="O77">
        <v>0.86666666666666603</v>
      </c>
      <c r="P77">
        <v>0.76666666666666605</v>
      </c>
      <c r="Q77">
        <v>0.7</v>
      </c>
      <c r="R77">
        <v>0.7</v>
      </c>
      <c r="S77">
        <v>0.7</v>
      </c>
      <c r="T77">
        <v>0.66666666666666596</v>
      </c>
      <c r="U77">
        <v>0.7</v>
      </c>
      <c r="V77">
        <v>0.7</v>
      </c>
      <c r="W77">
        <v>0.54166666666666596</v>
      </c>
      <c r="X77">
        <v>0.86299999999999999</v>
      </c>
      <c r="Y77">
        <v>0</v>
      </c>
      <c r="Z77">
        <v>5.7735026918962498E-2</v>
      </c>
      <c r="AA77">
        <v>0.404145188432738</v>
      </c>
      <c r="AB77">
        <v>0.36055512754639801</v>
      </c>
      <c r="AC77">
        <v>0.115470053837925</v>
      </c>
      <c r="AD77">
        <v>5.7735026918962602E-2</v>
      </c>
      <c r="AE77">
        <v>0.46188021535169999</v>
      </c>
      <c r="AF77">
        <v>0.435889894354067</v>
      </c>
      <c r="AG77">
        <v>5.7735026918962498E-2</v>
      </c>
      <c r="AH77">
        <v>5.7735026918962602E-2</v>
      </c>
      <c r="AI77">
        <v>0.51961524227066302</v>
      </c>
      <c r="AJ77">
        <v>0.51961524227066302</v>
      </c>
      <c r="AK77">
        <v>0.26457513110645903</v>
      </c>
      <c r="AL77">
        <v>5.7735026918962498E-2</v>
      </c>
      <c r="AM77">
        <v>0.51961524227066302</v>
      </c>
      <c r="AN77">
        <v>0.51961524227066302</v>
      </c>
      <c r="AO77">
        <v>0.70489881070500704</v>
      </c>
      <c r="AP77">
        <v>0.226977972499535</v>
      </c>
      <c r="AQ77">
        <v>0.9</v>
      </c>
      <c r="AR77">
        <v>0.1</v>
      </c>
      <c r="AS77">
        <v>0.76666666666666605</v>
      </c>
      <c r="AT77">
        <v>0.39999999999999902</v>
      </c>
      <c r="AU77">
        <v>0.16666666666666599</v>
      </c>
      <c r="AV77">
        <v>0.96666666666666601</v>
      </c>
      <c r="AW77">
        <v>8.7666666666666601E-2</v>
      </c>
      <c r="AX77">
        <v>0.49199999999999999</v>
      </c>
      <c r="AY77">
        <v>0</v>
      </c>
      <c r="AZ77">
        <v>0</v>
      </c>
      <c r="BA77">
        <v>5.7735026918962602E-2</v>
      </c>
      <c r="BB77">
        <v>0.19999999999999901</v>
      </c>
      <c r="BC77">
        <v>0.115470053837925</v>
      </c>
      <c r="BD77">
        <v>5.7735026918962498E-2</v>
      </c>
      <c r="BE77">
        <v>5.4372174256078203E-2</v>
      </c>
      <c r="BF77">
        <v>3.4871191548325298E-2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6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2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2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4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2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0.66666666666666596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2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0.66666666666666596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0.66666666666666596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1.3333333333333299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0.66666666666666596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</row>
    <row r="78" spans="1:656" x14ac:dyDescent="0.2">
      <c r="A78" t="s">
        <v>810</v>
      </c>
      <c r="D78" t="s">
        <v>811</v>
      </c>
      <c r="E78" t="s">
        <v>808</v>
      </c>
      <c r="F78">
        <v>4</v>
      </c>
      <c r="G78">
        <v>0.7</v>
      </c>
      <c r="H78">
        <v>0.7</v>
      </c>
      <c r="I78">
        <v>0.45</v>
      </c>
      <c r="J78">
        <v>0.22500000000000001</v>
      </c>
      <c r="K78">
        <v>0.77500000000000002</v>
      </c>
      <c r="L78">
        <v>0.625</v>
      </c>
      <c r="M78">
        <v>0.4</v>
      </c>
      <c r="N78">
        <v>0.27500000000000002</v>
      </c>
      <c r="O78">
        <v>0.7</v>
      </c>
      <c r="P78">
        <v>0.67500000000000004</v>
      </c>
      <c r="Q78">
        <v>0.55000000000000004</v>
      </c>
      <c r="R78">
        <v>0.32500000000000001</v>
      </c>
      <c r="S78">
        <v>0.65</v>
      </c>
      <c r="T78">
        <v>0.57499999999999996</v>
      </c>
      <c r="U78">
        <v>0.55000000000000004</v>
      </c>
      <c r="V78">
        <v>0.32500000000000001</v>
      </c>
      <c r="W78">
        <v>-0.13624999999999901</v>
      </c>
      <c r="X78">
        <v>0.64524999999999999</v>
      </c>
      <c r="Y78">
        <v>0.4</v>
      </c>
      <c r="Z78">
        <v>0.4</v>
      </c>
      <c r="AA78">
        <v>0.435889894354067</v>
      </c>
      <c r="AB78">
        <v>0.249999999999999</v>
      </c>
      <c r="AC78">
        <v>0.45</v>
      </c>
      <c r="AD78">
        <v>0.35</v>
      </c>
      <c r="AE78">
        <v>0.38297084310253499</v>
      </c>
      <c r="AF78">
        <v>0.35</v>
      </c>
      <c r="AG78">
        <v>0.4</v>
      </c>
      <c r="AH78">
        <v>0.38622100754188199</v>
      </c>
      <c r="AI78">
        <v>0.51961524227066302</v>
      </c>
      <c r="AJ78">
        <v>0.45</v>
      </c>
      <c r="AK78">
        <v>0.435889894354067</v>
      </c>
      <c r="AL78">
        <v>0.33040379335998299</v>
      </c>
      <c r="AM78">
        <v>0.51961524227066302</v>
      </c>
      <c r="AN78">
        <v>0.45</v>
      </c>
      <c r="AO78">
        <v>0.85950930768665901</v>
      </c>
      <c r="AP78">
        <v>0.27642765780579898</v>
      </c>
      <c r="AQ78">
        <v>0.7</v>
      </c>
      <c r="AR78">
        <v>0.3</v>
      </c>
      <c r="AS78">
        <v>0.6</v>
      </c>
      <c r="AT78">
        <v>0.4</v>
      </c>
      <c r="AU78">
        <v>0.05</v>
      </c>
      <c r="AV78">
        <v>0.77500000000000002</v>
      </c>
      <c r="AW78">
        <v>-4.6999999999999903E-2</v>
      </c>
      <c r="AX78">
        <v>0.40675</v>
      </c>
      <c r="AY78">
        <v>0.4</v>
      </c>
      <c r="AZ78">
        <v>0.4</v>
      </c>
      <c r="BA78">
        <v>0.33665016461206898</v>
      </c>
      <c r="BB78">
        <v>0.42426406871192801</v>
      </c>
      <c r="BC78">
        <v>5.7735026918962498E-2</v>
      </c>
      <c r="BD78">
        <v>0.45</v>
      </c>
      <c r="BE78">
        <v>0.24463987137559201</v>
      </c>
      <c r="BF78">
        <v>0.15491368564461899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1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3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8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0.25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0.75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2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</row>
    <row r="79" spans="1:656" x14ac:dyDescent="0.2">
      <c r="A79" t="s">
        <v>812</v>
      </c>
      <c r="B79" t="s">
        <v>772</v>
      </c>
      <c r="C79" t="s">
        <v>658</v>
      </c>
      <c r="D79" t="s">
        <v>813</v>
      </c>
      <c r="E79" t="s">
        <v>760</v>
      </c>
      <c r="F79">
        <v>2</v>
      </c>
      <c r="G79">
        <v>0.9</v>
      </c>
      <c r="H79">
        <v>0.8</v>
      </c>
      <c r="I79">
        <v>0.1</v>
      </c>
      <c r="J79">
        <v>0.1</v>
      </c>
      <c r="K79">
        <v>1</v>
      </c>
      <c r="L79">
        <v>0.7</v>
      </c>
      <c r="M79">
        <v>0.1</v>
      </c>
      <c r="N79">
        <v>0.1</v>
      </c>
      <c r="O79">
        <v>0.9</v>
      </c>
      <c r="P79">
        <v>0.8</v>
      </c>
      <c r="Q79">
        <v>0.1</v>
      </c>
      <c r="R79">
        <v>0.1</v>
      </c>
      <c r="S79">
        <v>1</v>
      </c>
      <c r="T79">
        <v>0.7</v>
      </c>
      <c r="U79">
        <v>0.1</v>
      </c>
      <c r="V79">
        <v>0.1</v>
      </c>
      <c r="W79">
        <v>-0.27200000000000002</v>
      </c>
      <c r="X79">
        <v>0.60099999999999998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0.9</v>
      </c>
      <c r="AR79">
        <v>0.1</v>
      </c>
      <c r="AS79">
        <v>0.8</v>
      </c>
      <c r="AT79">
        <v>0.2</v>
      </c>
      <c r="AU79">
        <v>0.1</v>
      </c>
      <c r="AV79">
        <v>0.9</v>
      </c>
      <c r="AW79">
        <v>0.15</v>
      </c>
      <c r="AX79">
        <v>0.53200000000000003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5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4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3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2.5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2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</row>
    <row r="80" spans="1:656" x14ac:dyDescent="0.2">
      <c r="A80" t="s">
        <v>814</v>
      </c>
      <c r="B80" t="s">
        <v>815</v>
      </c>
      <c r="C80" t="s">
        <v>667</v>
      </c>
      <c r="D80" t="s">
        <v>698</v>
      </c>
      <c r="E80" t="s">
        <v>660</v>
      </c>
      <c r="F80">
        <v>2</v>
      </c>
      <c r="G80">
        <v>0.9</v>
      </c>
      <c r="H80">
        <v>0.8</v>
      </c>
      <c r="I80">
        <v>0.1</v>
      </c>
      <c r="J80">
        <v>0.1</v>
      </c>
      <c r="K80">
        <v>0.95</v>
      </c>
      <c r="L80">
        <v>0.7</v>
      </c>
      <c r="M80">
        <v>0.1</v>
      </c>
      <c r="N80">
        <v>0.1</v>
      </c>
      <c r="O80">
        <v>0.9</v>
      </c>
      <c r="P80">
        <v>0.8</v>
      </c>
      <c r="Q80">
        <v>0.1</v>
      </c>
      <c r="R80">
        <v>0.1</v>
      </c>
      <c r="S80">
        <v>0.95</v>
      </c>
      <c r="T80">
        <v>0.7</v>
      </c>
      <c r="U80">
        <v>0.1</v>
      </c>
      <c r="V80">
        <v>0.1</v>
      </c>
      <c r="W80">
        <v>-0.29449999999999998</v>
      </c>
      <c r="X80">
        <v>0.59399999999999997</v>
      </c>
      <c r="Y80">
        <v>0</v>
      </c>
      <c r="Z80">
        <v>0</v>
      </c>
      <c r="AA80">
        <v>0</v>
      </c>
      <c r="AB80">
        <v>0</v>
      </c>
      <c r="AC80">
        <v>7.0710678118654696E-2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7.0710678118654696E-2</v>
      </c>
      <c r="AL80">
        <v>0</v>
      </c>
      <c r="AM80">
        <v>0</v>
      </c>
      <c r="AN80">
        <v>0</v>
      </c>
      <c r="AO80">
        <v>3.1819805153394602E-2</v>
      </c>
      <c r="AP80">
        <v>9.8994949366116702E-3</v>
      </c>
      <c r="AQ80">
        <v>0.9</v>
      </c>
      <c r="AR80">
        <v>0.1</v>
      </c>
      <c r="AS80">
        <v>0.8</v>
      </c>
      <c r="AT80">
        <v>0.15</v>
      </c>
      <c r="AU80">
        <v>0.39999999999999902</v>
      </c>
      <c r="AV80">
        <v>0.6</v>
      </c>
      <c r="AW80">
        <v>0.38750000000000001</v>
      </c>
      <c r="AX80">
        <v>0.6825</v>
      </c>
      <c r="AY80">
        <v>0</v>
      </c>
      <c r="AZ80">
        <v>0</v>
      </c>
      <c r="BA80">
        <v>0</v>
      </c>
      <c r="BB80">
        <v>7.0710678118654696E-2</v>
      </c>
      <c r="BC80">
        <v>0.42426406871192801</v>
      </c>
      <c r="BD80">
        <v>0.42426406871192801</v>
      </c>
      <c r="BE80">
        <v>0.33587572106361002</v>
      </c>
      <c r="BF80">
        <v>0.21283914113715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3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3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2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1.5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1.5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1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</row>
    <row r="81" spans="1:656" x14ac:dyDescent="0.2">
      <c r="A81" t="s">
        <v>816</v>
      </c>
      <c r="B81" t="s">
        <v>817</v>
      </c>
      <c r="C81" t="s">
        <v>667</v>
      </c>
      <c r="D81" t="s">
        <v>818</v>
      </c>
      <c r="E81" t="s">
        <v>760</v>
      </c>
      <c r="F81">
        <v>4</v>
      </c>
      <c r="G81">
        <v>0.77500000000000002</v>
      </c>
      <c r="H81">
        <v>0.67500000000000004</v>
      </c>
      <c r="I81">
        <v>0.47499999999999998</v>
      </c>
      <c r="J81">
        <v>0.3</v>
      </c>
      <c r="K81">
        <v>0.77500000000000002</v>
      </c>
      <c r="L81">
        <v>0.57499999999999996</v>
      </c>
      <c r="M81">
        <v>0.5</v>
      </c>
      <c r="N81">
        <v>0.32500000000000001</v>
      </c>
      <c r="O81">
        <v>0.75</v>
      </c>
      <c r="P81">
        <v>0.65</v>
      </c>
      <c r="Q81">
        <v>0.52500000000000002</v>
      </c>
      <c r="R81">
        <v>0.35</v>
      </c>
      <c r="S81">
        <v>0.72499999999999998</v>
      </c>
      <c r="T81">
        <v>0.57499999999999996</v>
      </c>
      <c r="U81">
        <v>0.52500000000000002</v>
      </c>
      <c r="V81">
        <v>0.35</v>
      </c>
      <c r="W81">
        <v>-7.3749999999999996E-2</v>
      </c>
      <c r="X81">
        <v>0.66500000000000004</v>
      </c>
      <c r="Y81">
        <v>0.25</v>
      </c>
      <c r="Z81">
        <v>0.25</v>
      </c>
      <c r="AA81">
        <v>0.43493294502332902</v>
      </c>
      <c r="AB81">
        <v>0.33665016461206898</v>
      </c>
      <c r="AC81">
        <v>0.33040379335998299</v>
      </c>
      <c r="AD81">
        <v>0.249999999999999</v>
      </c>
      <c r="AE81">
        <v>0.46188021535169999</v>
      </c>
      <c r="AF81">
        <v>0.38622100754188199</v>
      </c>
      <c r="AG81">
        <v>0.23804761428476101</v>
      </c>
      <c r="AH81">
        <v>0.23804761428476101</v>
      </c>
      <c r="AI81">
        <v>0.49244289008980502</v>
      </c>
      <c r="AJ81">
        <v>0.435889894354067</v>
      </c>
      <c r="AK81">
        <v>0.340342964277702</v>
      </c>
      <c r="AL81">
        <v>0.249999999999999</v>
      </c>
      <c r="AM81">
        <v>0.49244289008980502</v>
      </c>
      <c r="AN81">
        <v>0.435889894354067</v>
      </c>
      <c r="AO81">
        <v>0.72498844818383101</v>
      </c>
      <c r="AP81">
        <v>0.23328523313746199</v>
      </c>
      <c r="AQ81">
        <v>0.67500000000000004</v>
      </c>
      <c r="AR81">
        <v>0.35</v>
      </c>
      <c r="AS81">
        <v>0.67500000000000004</v>
      </c>
      <c r="AT81">
        <v>0.42499999999999999</v>
      </c>
      <c r="AU81">
        <v>0.42499999999999999</v>
      </c>
      <c r="AV81">
        <v>0.6</v>
      </c>
      <c r="AW81">
        <v>0.16274999999999901</v>
      </c>
      <c r="AX81">
        <v>0.53974999999999995</v>
      </c>
      <c r="AY81">
        <v>0.33040379335998299</v>
      </c>
      <c r="AZ81">
        <v>0.37859388972001801</v>
      </c>
      <c r="BA81">
        <v>0.189296944860009</v>
      </c>
      <c r="BB81">
        <v>0.33040379335998299</v>
      </c>
      <c r="BC81">
        <v>0.39475730941089998</v>
      </c>
      <c r="BD81">
        <v>0.35590260840104299</v>
      </c>
      <c r="BE81">
        <v>0.507990403452663</v>
      </c>
      <c r="BF81">
        <v>0.322606442382458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2</v>
      </c>
      <c r="DW81">
        <v>0</v>
      </c>
      <c r="DX81">
        <v>0</v>
      </c>
      <c r="DY81">
        <v>0</v>
      </c>
      <c r="DZ81">
        <v>0</v>
      </c>
      <c r="EA81">
        <v>3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3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3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3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3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3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3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0.25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0.5</v>
      </c>
      <c r="PJ81">
        <v>0</v>
      </c>
      <c r="PK81">
        <v>0</v>
      </c>
      <c r="PL81">
        <v>0</v>
      </c>
      <c r="PM81">
        <v>0</v>
      </c>
      <c r="PN81">
        <v>0.75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0.75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0.75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0.75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0.5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0.75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0.75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0.75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</row>
    <row r="82" spans="1:656" x14ac:dyDescent="0.2">
      <c r="A82" t="s">
        <v>819</v>
      </c>
      <c r="D82" t="s">
        <v>674</v>
      </c>
      <c r="E82" t="s">
        <v>660</v>
      </c>
      <c r="F82">
        <v>1</v>
      </c>
      <c r="G82">
        <v>0.9</v>
      </c>
      <c r="H82">
        <v>0.9</v>
      </c>
      <c r="I82">
        <v>0.6</v>
      </c>
      <c r="J82">
        <v>0.6</v>
      </c>
      <c r="K82">
        <v>1</v>
      </c>
      <c r="L82">
        <v>0.8</v>
      </c>
      <c r="M82">
        <v>0.9</v>
      </c>
      <c r="N82">
        <v>0.8</v>
      </c>
      <c r="O82">
        <v>0.9</v>
      </c>
      <c r="P82">
        <v>0.8</v>
      </c>
      <c r="Q82">
        <v>1</v>
      </c>
      <c r="R82">
        <v>1</v>
      </c>
      <c r="S82">
        <v>0.5</v>
      </c>
      <c r="T82">
        <v>0.6</v>
      </c>
      <c r="U82">
        <v>1</v>
      </c>
      <c r="V82">
        <v>1</v>
      </c>
      <c r="W82">
        <v>0.93</v>
      </c>
      <c r="X82">
        <v>0.98799999999999999</v>
      </c>
      <c r="AQ82">
        <v>0.9</v>
      </c>
      <c r="AR82">
        <v>0.1</v>
      </c>
      <c r="AS82">
        <v>0.8</v>
      </c>
      <c r="AT82">
        <v>0.4</v>
      </c>
      <c r="AU82">
        <v>0.1</v>
      </c>
      <c r="AV82">
        <v>1</v>
      </c>
      <c r="AW82">
        <v>6.3E-2</v>
      </c>
      <c r="AX82">
        <v>0.47599999999999998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3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3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3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3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4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3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3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1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3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3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</row>
    <row r="83" spans="1:656" x14ac:dyDescent="0.2">
      <c r="A83" t="s">
        <v>820</v>
      </c>
      <c r="D83" t="s">
        <v>674</v>
      </c>
      <c r="E83" t="s">
        <v>660</v>
      </c>
      <c r="F83">
        <v>7</v>
      </c>
      <c r="G83">
        <v>0.52857142857142803</v>
      </c>
      <c r="H83">
        <v>0.628571428571428</v>
      </c>
      <c r="I83">
        <v>0.77142857142857102</v>
      </c>
      <c r="J83">
        <v>0.68571428571428505</v>
      </c>
      <c r="K83">
        <v>0.47142857142857097</v>
      </c>
      <c r="L83">
        <v>0.57142857142857095</v>
      </c>
      <c r="M83">
        <v>0.85714285714285698</v>
      </c>
      <c r="N83">
        <v>0.75714285714285701</v>
      </c>
      <c r="O83">
        <v>0.51428571428571401</v>
      </c>
      <c r="P83">
        <v>0.7</v>
      </c>
      <c r="Q83">
        <v>0.98571428571428499</v>
      </c>
      <c r="R83">
        <v>0.94285714285714195</v>
      </c>
      <c r="S83">
        <v>0.35714285714285698</v>
      </c>
      <c r="T83">
        <v>0.52857142857142803</v>
      </c>
      <c r="U83">
        <v>0.98571428571428499</v>
      </c>
      <c r="V83">
        <v>0.95714285714285696</v>
      </c>
      <c r="W83">
        <v>0.47714285714285698</v>
      </c>
      <c r="X83">
        <v>0.84242857142857097</v>
      </c>
      <c r="Y83">
        <v>0.22146697055682801</v>
      </c>
      <c r="Z83">
        <v>0.12535663410560099</v>
      </c>
      <c r="AA83">
        <v>0.22146697055682801</v>
      </c>
      <c r="AB83">
        <v>0.16761634196950501</v>
      </c>
      <c r="AC83">
        <v>0.29840847683606198</v>
      </c>
      <c r="AD83">
        <v>0.12535663410560099</v>
      </c>
      <c r="AE83">
        <v>0.293582145558063</v>
      </c>
      <c r="AF83">
        <v>0.229906813420444</v>
      </c>
      <c r="AG83">
        <v>0.18644544714715999</v>
      </c>
      <c r="AH83">
        <v>0.12909944487357999</v>
      </c>
      <c r="AI83">
        <v>3.77964473009227E-2</v>
      </c>
      <c r="AJ83">
        <v>9.7590007294853301E-2</v>
      </c>
      <c r="AK83">
        <v>0.113389341902768</v>
      </c>
      <c r="AL83">
        <v>0.205866345916355</v>
      </c>
      <c r="AM83">
        <v>3.77964473009227E-2</v>
      </c>
      <c r="AN83">
        <v>7.8679579246944201E-2</v>
      </c>
      <c r="AO83">
        <v>0.27758267751634402</v>
      </c>
      <c r="AP83">
        <v>8.9423817004302894E-2</v>
      </c>
      <c r="AQ83">
        <v>0.68571428571428505</v>
      </c>
      <c r="AR83">
        <v>0.34285714285714203</v>
      </c>
      <c r="AS83">
        <v>0.51428571428571401</v>
      </c>
      <c r="AT83">
        <v>0.84285714285714197</v>
      </c>
      <c r="AU83">
        <v>0.41428571428571398</v>
      </c>
      <c r="AV83">
        <v>0.91428571428571404</v>
      </c>
      <c r="AW83">
        <v>-0.119571428571428</v>
      </c>
      <c r="AX83">
        <v>0.36028571428571399</v>
      </c>
      <c r="AY83">
        <v>0.14638501094227899</v>
      </c>
      <c r="AZ83">
        <v>0.113389341902768</v>
      </c>
      <c r="BA83">
        <v>0.121498579258791</v>
      </c>
      <c r="BB83">
        <v>0.113389341902768</v>
      </c>
      <c r="BC83">
        <v>0.23401261667248699</v>
      </c>
      <c r="BD83">
        <v>3.77964473009227E-2</v>
      </c>
      <c r="BE83">
        <v>0.16270510865044199</v>
      </c>
      <c r="BF83">
        <v>0.103440343976152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8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3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2</v>
      </c>
      <c r="FL83">
        <v>9</v>
      </c>
      <c r="FM83">
        <v>3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4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0.14285714285714199</v>
      </c>
      <c r="NS83">
        <v>0</v>
      </c>
      <c r="NT83">
        <v>0.28571428571428498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0.28571428571428498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1.1428571428571399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0.42857142857142799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0.28571428571428498</v>
      </c>
      <c r="QY83">
        <v>1.28571428571428</v>
      </c>
      <c r="QZ83">
        <v>0.42857142857142799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0.57142857142857095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</row>
    <row r="84" spans="1:656" x14ac:dyDescent="0.2">
      <c r="A84" t="s">
        <v>821</v>
      </c>
      <c r="B84" t="s">
        <v>822</v>
      </c>
      <c r="C84" t="s">
        <v>725</v>
      </c>
      <c r="D84" t="s">
        <v>664</v>
      </c>
      <c r="E84" t="s">
        <v>660</v>
      </c>
      <c r="F84">
        <v>4</v>
      </c>
      <c r="G84">
        <v>0.9</v>
      </c>
      <c r="H84">
        <v>0.8</v>
      </c>
      <c r="I84">
        <v>0.1</v>
      </c>
      <c r="J84">
        <v>0.1</v>
      </c>
      <c r="K84">
        <v>1</v>
      </c>
      <c r="L84">
        <v>0.7</v>
      </c>
      <c r="M84">
        <v>0.1</v>
      </c>
      <c r="N84">
        <v>0.1</v>
      </c>
      <c r="O84">
        <v>0.9</v>
      </c>
      <c r="P84">
        <v>0.8</v>
      </c>
      <c r="Q84">
        <v>0.1</v>
      </c>
      <c r="R84">
        <v>0.1</v>
      </c>
      <c r="S84">
        <v>1</v>
      </c>
      <c r="T84">
        <v>0.7</v>
      </c>
      <c r="U84">
        <v>0.1</v>
      </c>
      <c r="V84">
        <v>0.1</v>
      </c>
      <c r="W84">
        <v>-0.27200000000000002</v>
      </c>
      <c r="X84">
        <v>0.60099999999999998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0.9</v>
      </c>
      <c r="AR84">
        <v>0.1</v>
      </c>
      <c r="AS84">
        <v>0.8</v>
      </c>
      <c r="AT84">
        <v>0.2</v>
      </c>
      <c r="AU84">
        <v>0.1</v>
      </c>
      <c r="AV84">
        <v>0.9</v>
      </c>
      <c r="AW84">
        <v>0.15</v>
      </c>
      <c r="AX84">
        <v>0.53200000000000003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2</v>
      </c>
      <c r="DZ84">
        <v>0</v>
      </c>
      <c r="EA84">
        <v>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2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4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2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0.5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0.75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0.5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0.5</v>
      </c>
      <c r="PM84">
        <v>0</v>
      </c>
      <c r="PN84">
        <v>0.5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0.5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0.5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1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0.25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0.5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</row>
    <row r="85" spans="1:656" x14ac:dyDescent="0.2">
      <c r="A85" t="s">
        <v>823</v>
      </c>
      <c r="D85" t="s">
        <v>824</v>
      </c>
      <c r="E85" t="s">
        <v>808</v>
      </c>
      <c r="F85">
        <v>2</v>
      </c>
      <c r="G85">
        <v>0.85</v>
      </c>
      <c r="H85">
        <v>0.65</v>
      </c>
      <c r="I85">
        <v>0.1</v>
      </c>
      <c r="J85">
        <v>0.1</v>
      </c>
      <c r="K85">
        <v>0.95</v>
      </c>
      <c r="L85">
        <v>0.55000000000000004</v>
      </c>
      <c r="M85">
        <v>0.1</v>
      </c>
      <c r="N85">
        <v>0.1</v>
      </c>
      <c r="O85">
        <v>0.9</v>
      </c>
      <c r="P85">
        <v>0.65</v>
      </c>
      <c r="Q85">
        <v>0.1</v>
      </c>
      <c r="R85">
        <v>0.1</v>
      </c>
      <c r="S85">
        <v>0.95</v>
      </c>
      <c r="T85">
        <v>0.55000000000000004</v>
      </c>
      <c r="U85">
        <v>0.1</v>
      </c>
      <c r="V85">
        <v>0.1</v>
      </c>
      <c r="W85">
        <v>-0.48599999999999999</v>
      </c>
      <c r="X85">
        <v>0.53249999999999997</v>
      </c>
      <c r="Y85">
        <v>7.0710678118654696E-2</v>
      </c>
      <c r="Z85">
        <v>0.21213203435596401</v>
      </c>
      <c r="AA85">
        <v>0</v>
      </c>
      <c r="AB85">
        <v>0</v>
      </c>
      <c r="AC85">
        <v>7.0710678118654696E-2</v>
      </c>
      <c r="AD85">
        <v>0.21213203435596401</v>
      </c>
      <c r="AE85">
        <v>0</v>
      </c>
      <c r="AF85">
        <v>0</v>
      </c>
      <c r="AG85">
        <v>0</v>
      </c>
      <c r="AH85">
        <v>0.21213203435596401</v>
      </c>
      <c r="AI85">
        <v>0</v>
      </c>
      <c r="AJ85">
        <v>0</v>
      </c>
      <c r="AK85">
        <v>7.0710678118654696E-2</v>
      </c>
      <c r="AL85">
        <v>0.21213203435596401</v>
      </c>
      <c r="AM85">
        <v>0</v>
      </c>
      <c r="AN85">
        <v>0</v>
      </c>
      <c r="AO85">
        <v>0.30264170234784199</v>
      </c>
      <c r="AP85">
        <v>9.6873629022556904E-2</v>
      </c>
      <c r="AQ85">
        <v>0.75</v>
      </c>
      <c r="AR85">
        <v>0.2</v>
      </c>
      <c r="AS85">
        <v>0.65</v>
      </c>
      <c r="AT85">
        <v>0.44999999999999901</v>
      </c>
      <c r="AU85">
        <v>0.15</v>
      </c>
      <c r="AV85">
        <v>0.9</v>
      </c>
      <c r="AW85">
        <v>-1.24999999999999E-2</v>
      </c>
      <c r="AX85">
        <v>0.42849999999999999</v>
      </c>
      <c r="AY85">
        <v>0.21213203435596401</v>
      </c>
      <c r="AZ85">
        <v>0.141421356237309</v>
      </c>
      <c r="BA85">
        <v>0.21213203435596401</v>
      </c>
      <c r="BB85">
        <v>0.35355339059327301</v>
      </c>
      <c r="BC85">
        <v>7.0710678118654696E-2</v>
      </c>
      <c r="BD85">
        <v>0</v>
      </c>
      <c r="BE85">
        <v>0.22980970388562699</v>
      </c>
      <c r="BF85">
        <v>0.14637110370561501</v>
      </c>
      <c r="BG85">
        <v>2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1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3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3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1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1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0.5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1.5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1.5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</row>
    <row r="86" spans="1:656" x14ac:dyDescent="0.2">
      <c r="A86" t="s">
        <v>825</v>
      </c>
      <c r="B86" t="s">
        <v>724</v>
      </c>
      <c r="C86" t="s">
        <v>725</v>
      </c>
      <c r="D86" t="s">
        <v>824</v>
      </c>
      <c r="E86" t="s">
        <v>808</v>
      </c>
      <c r="F86">
        <v>2</v>
      </c>
      <c r="G86">
        <v>0.9</v>
      </c>
      <c r="H86">
        <v>0.9</v>
      </c>
      <c r="I86">
        <v>0.6</v>
      </c>
      <c r="J86">
        <v>0.6</v>
      </c>
      <c r="K86">
        <v>1</v>
      </c>
      <c r="L86">
        <v>0.8</v>
      </c>
      <c r="M86">
        <v>0.9</v>
      </c>
      <c r="N86">
        <v>0.8</v>
      </c>
      <c r="O86">
        <v>0.9</v>
      </c>
      <c r="P86">
        <v>0.8</v>
      </c>
      <c r="Q86">
        <v>1</v>
      </c>
      <c r="R86">
        <v>1</v>
      </c>
      <c r="S86">
        <v>0.5</v>
      </c>
      <c r="T86">
        <v>0.6</v>
      </c>
      <c r="U86">
        <v>1</v>
      </c>
      <c r="V86">
        <v>1</v>
      </c>
      <c r="W86">
        <v>0.93</v>
      </c>
      <c r="X86">
        <v>0.98799999999999999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0.9</v>
      </c>
      <c r="AR86">
        <v>0.1</v>
      </c>
      <c r="AS86">
        <v>0.8</v>
      </c>
      <c r="AT86">
        <v>0.4</v>
      </c>
      <c r="AU86">
        <v>0.7</v>
      </c>
      <c r="AV86">
        <v>0.8</v>
      </c>
      <c r="AW86">
        <v>0.36299999999999999</v>
      </c>
      <c r="AX86">
        <v>0.66700000000000004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7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3.5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</row>
    <row r="87" spans="1:656" x14ac:dyDescent="0.2">
      <c r="A87" t="s">
        <v>826</v>
      </c>
      <c r="B87" t="s">
        <v>707</v>
      </c>
      <c r="D87" t="s">
        <v>664</v>
      </c>
      <c r="E87" t="s">
        <v>660</v>
      </c>
      <c r="F87">
        <v>4</v>
      </c>
      <c r="G87">
        <v>0.9</v>
      </c>
      <c r="H87">
        <v>0.8</v>
      </c>
      <c r="I87">
        <v>0.1</v>
      </c>
      <c r="J87">
        <v>0.1</v>
      </c>
      <c r="K87">
        <v>0.95</v>
      </c>
      <c r="L87">
        <v>0.67499999999999905</v>
      </c>
      <c r="M87">
        <v>0.15</v>
      </c>
      <c r="N87">
        <v>0.15</v>
      </c>
      <c r="O87">
        <v>0.875</v>
      </c>
      <c r="P87">
        <v>0.77500000000000002</v>
      </c>
      <c r="Q87">
        <v>0.27500000000000002</v>
      </c>
      <c r="R87">
        <v>0.27500000000000002</v>
      </c>
      <c r="S87">
        <v>0.79999999999999905</v>
      </c>
      <c r="T87">
        <v>0.625</v>
      </c>
      <c r="U87">
        <v>0.32500000000000001</v>
      </c>
      <c r="V87">
        <v>0.32500000000000001</v>
      </c>
      <c r="W87">
        <v>-0.15775</v>
      </c>
      <c r="X87">
        <v>0.63800000000000001</v>
      </c>
      <c r="Y87">
        <v>0</v>
      </c>
      <c r="Z87">
        <v>0</v>
      </c>
      <c r="AA87">
        <v>0</v>
      </c>
      <c r="AB87">
        <v>0</v>
      </c>
      <c r="AC87">
        <v>5.7735026918962498E-2</v>
      </c>
      <c r="AD87">
        <v>4.9999999999999899E-2</v>
      </c>
      <c r="AE87">
        <v>5.7735026918962498E-2</v>
      </c>
      <c r="AF87">
        <v>5.7735026918962498E-2</v>
      </c>
      <c r="AG87">
        <v>4.9999999999999899E-2</v>
      </c>
      <c r="AH87">
        <v>0.05</v>
      </c>
      <c r="AI87">
        <v>0.35</v>
      </c>
      <c r="AJ87">
        <v>0.35</v>
      </c>
      <c r="AK87">
        <v>0.33665016461206898</v>
      </c>
      <c r="AL87">
        <v>0.149999999999999</v>
      </c>
      <c r="AM87">
        <v>0.38622100754188199</v>
      </c>
      <c r="AN87">
        <v>0.38622100754188199</v>
      </c>
      <c r="AO87">
        <v>0.19840761914133501</v>
      </c>
      <c r="AP87">
        <v>6.3780874876407906E-2</v>
      </c>
      <c r="AQ87">
        <v>0.875</v>
      </c>
      <c r="AR87">
        <v>0.1</v>
      </c>
      <c r="AS87">
        <v>0.77500000000000002</v>
      </c>
      <c r="AT87">
        <v>0.2</v>
      </c>
      <c r="AU87">
        <v>0.1</v>
      </c>
      <c r="AV87">
        <v>0.92500000000000004</v>
      </c>
      <c r="AW87">
        <v>0.12525</v>
      </c>
      <c r="AX87">
        <v>0.51600000000000001</v>
      </c>
      <c r="AY87">
        <v>4.9999999999999899E-2</v>
      </c>
      <c r="AZ87">
        <v>0</v>
      </c>
      <c r="BA87">
        <v>0.05</v>
      </c>
      <c r="BB87">
        <v>0</v>
      </c>
      <c r="BC87">
        <v>0</v>
      </c>
      <c r="BD87">
        <v>4.9999999999999899E-2</v>
      </c>
      <c r="BE87">
        <v>3.0346608816582198E-2</v>
      </c>
      <c r="BF87">
        <v>1.9595917942265399E-2</v>
      </c>
      <c r="BG87">
        <v>0</v>
      </c>
      <c r="BH87">
        <v>0</v>
      </c>
      <c r="BI87">
        <v>0</v>
      </c>
      <c r="BJ87">
        <v>6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5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2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4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7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1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5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1.5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0.75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1.25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0.5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1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1.75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0.25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1.25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</row>
    <row r="88" spans="1:656" x14ac:dyDescent="0.2">
      <c r="A88" t="s">
        <v>827</v>
      </c>
      <c r="B88" t="s">
        <v>689</v>
      </c>
      <c r="C88" t="s">
        <v>678</v>
      </c>
      <c r="D88" t="s">
        <v>698</v>
      </c>
      <c r="E88" t="s">
        <v>660</v>
      </c>
    </row>
    <row r="89" spans="1:656" x14ac:dyDescent="0.2">
      <c r="A89" t="s">
        <v>828</v>
      </c>
      <c r="B89" t="s">
        <v>689</v>
      </c>
      <c r="C89" t="s">
        <v>678</v>
      </c>
      <c r="D89" t="s">
        <v>786</v>
      </c>
      <c r="E89" t="s">
        <v>660</v>
      </c>
      <c r="F89">
        <v>3</v>
      </c>
      <c r="G89">
        <v>0.9</v>
      </c>
      <c r="H89">
        <v>0.8</v>
      </c>
      <c r="I89">
        <v>0.133333333333333</v>
      </c>
      <c r="J89">
        <v>0.133333333333333</v>
      </c>
      <c r="K89">
        <v>0.93333333333333302</v>
      </c>
      <c r="L89">
        <v>0.69999999999999896</v>
      </c>
      <c r="M89">
        <v>0.36666666666666597</v>
      </c>
      <c r="N89">
        <v>0.33333333333333298</v>
      </c>
      <c r="O89">
        <v>0.86666666666666603</v>
      </c>
      <c r="P89">
        <v>0.76666666666666605</v>
      </c>
      <c r="Q89">
        <v>0.36666666666666597</v>
      </c>
      <c r="R89">
        <v>0.33333333333333298</v>
      </c>
      <c r="S89">
        <v>0.7</v>
      </c>
      <c r="T89">
        <v>0.56666666666666599</v>
      </c>
      <c r="U89">
        <v>0.36666666666666597</v>
      </c>
      <c r="V89">
        <v>0.33333333333333298</v>
      </c>
      <c r="W89">
        <v>-9.6666666666666595E-2</v>
      </c>
      <c r="X89">
        <v>0.65766666666666596</v>
      </c>
      <c r="Y89">
        <v>0</v>
      </c>
      <c r="Z89">
        <v>0</v>
      </c>
      <c r="AA89">
        <v>5.7735026918962498E-2</v>
      </c>
      <c r="AB89">
        <v>5.7735026918962498E-2</v>
      </c>
      <c r="AC89">
        <v>5.7735026918962498E-2</v>
      </c>
      <c r="AD89">
        <v>0</v>
      </c>
      <c r="AE89">
        <v>0.46188021535169999</v>
      </c>
      <c r="AF89">
        <v>0.404145188432738</v>
      </c>
      <c r="AG89">
        <v>5.7735026918962498E-2</v>
      </c>
      <c r="AH89">
        <v>5.7735026918962602E-2</v>
      </c>
      <c r="AI89">
        <v>0.46188021535169999</v>
      </c>
      <c r="AJ89">
        <v>0.404145188432738</v>
      </c>
      <c r="AK89">
        <v>0.435889894354067</v>
      </c>
      <c r="AL89">
        <v>0.23094010767584999</v>
      </c>
      <c r="AM89">
        <v>0.46188021535169999</v>
      </c>
      <c r="AN89">
        <v>0.404145188432738</v>
      </c>
      <c r="AO89">
        <v>0.34339530185099099</v>
      </c>
      <c r="AP89">
        <v>0.11049585210917801</v>
      </c>
      <c r="AQ89">
        <v>0.9</v>
      </c>
      <c r="AR89">
        <v>0.1</v>
      </c>
      <c r="AS89">
        <v>0.8</v>
      </c>
      <c r="AT89">
        <v>0.233333333333333</v>
      </c>
      <c r="AU89">
        <v>0.36666666666666597</v>
      </c>
      <c r="AV89">
        <v>0.66666666666666596</v>
      </c>
      <c r="AW89">
        <v>0.32933333333333298</v>
      </c>
      <c r="AX89">
        <v>0.64566666666666594</v>
      </c>
      <c r="AY89">
        <v>0</v>
      </c>
      <c r="AZ89">
        <v>0</v>
      </c>
      <c r="BA89">
        <v>0</v>
      </c>
      <c r="BB89">
        <v>0.152752523165194</v>
      </c>
      <c r="BC89">
        <v>0.46188021535169999</v>
      </c>
      <c r="BD89">
        <v>0.49328828623162402</v>
      </c>
      <c r="BE89">
        <v>0.38840228286318401</v>
      </c>
      <c r="BF89">
        <v>0.24696625950387099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6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4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2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2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1.3333333333333299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0.66666666666666596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</row>
    <row r="90" spans="1:656" x14ac:dyDescent="0.2">
      <c r="A90" t="s">
        <v>829</v>
      </c>
      <c r="D90" t="s">
        <v>659</v>
      </c>
      <c r="E90" t="s">
        <v>660</v>
      </c>
      <c r="F90">
        <v>3</v>
      </c>
      <c r="G90">
        <v>0.66666666666666596</v>
      </c>
      <c r="H90">
        <v>0.39999999999999902</v>
      </c>
      <c r="I90">
        <v>0.36666666666666597</v>
      </c>
      <c r="J90">
        <v>6.6666666666666596E-2</v>
      </c>
      <c r="K90">
        <v>0.66666666666666596</v>
      </c>
      <c r="L90">
        <v>0.36666666666666597</v>
      </c>
      <c r="M90">
        <v>0.36666666666666597</v>
      </c>
      <c r="N90">
        <v>6.6666666666666596E-2</v>
      </c>
      <c r="O90">
        <v>0.66666666666666596</v>
      </c>
      <c r="P90">
        <v>0.39999999999999902</v>
      </c>
      <c r="Q90">
        <v>0.39999999999999902</v>
      </c>
      <c r="R90">
        <v>6.6666666666666596E-2</v>
      </c>
      <c r="S90">
        <v>0.7</v>
      </c>
      <c r="T90">
        <v>0.36666666666666597</v>
      </c>
      <c r="U90">
        <v>0.39999999999999902</v>
      </c>
      <c r="V90">
        <v>6.6666666666666596E-2</v>
      </c>
      <c r="W90">
        <v>-0.76600000000000001</v>
      </c>
      <c r="X90">
        <v>0.44233333333333302</v>
      </c>
      <c r="Y90">
        <v>0.404145188432738</v>
      </c>
      <c r="Z90">
        <v>0.36055512754639801</v>
      </c>
      <c r="AA90">
        <v>0.46188021535169999</v>
      </c>
      <c r="AB90">
        <v>5.7735026918962498E-2</v>
      </c>
      <c r="AC90">
        <v>0.49328828623162402</v>
      </c>
      <c r="AD90">
        <v>0.305505046330389</v>
      </c>
      <c r="AE90">
        <v>0.46188021535169999</v>
      </c>
      <c r="AF90">
        <v>5.7735026918962498E-2</v>
      </c>
      <c r="AG90">
        <v>0.404145188432738</v>
      </c>
      <c r="AH90">
        <v>0.36055512754639801</v>
      </c>
      <c r="AI90">
        <v>0.51961524227066302</v>
      </c>
      <c r="AJ90">
        <v>5.7735026918962498E-2</v>
      </c>
      <c r="AK90">
        <v>0.51961524227066302</v>
      </c>
      <c r="AL90">
        <v>0.305505046330389</v>
      </c>
      <c r="AM90">
        <v>0.51961524227066302</v>
      </c>
      <c r="AN90">
        <v>5.7735026918962498E-2</v>
      </c>
      <c r="AO90">
        <v>0.46414114232634002</v>
      </c>
      <c r="AP90">
        <v>0.14914869537925299</v>
      </c>
      <c r="AQ90">
        <v>0.63333333333333297</v>
      </c>
      <c r="AR90">
        <v>0.39999999999999902</v>
      </c>
      <c r="AS90">
        <v>0.6</v>
      </c>
      <c r="AT90">
        <v>0.43333333333333302</v>
      </c>
      <c r="AU90">
        <v>0.1</v>
      </c>
      <c r="AV90">
        <v>0.56666666666666599</v>
      </c>
      <c r="AW90" s="1">
        <v>3.7007434154171803E-17</v>
      </c>
      <c r="AX90">
        <v>0.43633333333333302</v>
      </c>
      <c r="AY90">
        <v>0.46188021535169999</v>
      </c>
      <c r="AZ90">
        <v>0.51961524227066302</v>
      </c>
      <c r="BA90">
        <v>0.34641016151377502</v>
      </c>
      <c r="BB90">
        <v>0.49328828623162402</v>
      </c>
      <c r="BC90">
        <v>0</v>
      </c>
      <c r="BD90">
        <v>0.351188458428424</v>
      </c>
      <c r="BE90">
        <v>0.52919183667173098</v>
      </c>
      <c r="BF90">
        <v>0.33587845023658902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2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2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5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0.66666666666666596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0.66666666666666596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1.6666666666666601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</row>
    <row r="91" spans="1:656" x14ac:dyDescent="0.2">
      <c r="A91" t="s">
        <v>830</v>
      </c>
      <c r="B91" t="s">
        <v>794</v>
      </c>
      <c r="C91" t="s">
        <v>658</v>
      </c>
      <c r="D91" t="s">
        <v>732</v>
      </c>
      <c r="E91" t="s">
        <v>733</v>
      </c>
      <c r="F91">
        <v>3</v>
      </c>
      <c r="G91">
        <v>0.86666666666666603</v>
      </c>
      <c r="H91">
        <v>0.83333333333333304</v>
      </c>
      <c r="I91">
        <v>0.266666666666666</v>
      </c>
      <c r="J91">
        <v>0.233333333333333</v>
      </c>
      <c r="K91">
        <v>0.9</v>
      </c>
      <c r="L91">
        <v>0.73333333333333295</v>
      </c>
      <c r="M91">
        <v>0.33333333333333298</v>
      </c>
      <c r="N91">
        <v>0.3</v>
      </c>
      <c r="O91">
        <v>0.86666666666666603</v>
      </c>
      <c r="P91">
        <v>0.83333333333333304</v>
      </c>
      <c r="Q91">
        <v>0.33333333333333298</v>
      </c>
      <c r="R91">
        <v>0.3</v>
      </c>
      <c r="S91">
        <v>0.79999999999999905</v>
      </c>
      <c r="T91">
        <v>0.7</v>
      </c>
      <c r="U91">
        <v>0.33333333333333298</v>
      </c>
      <c r="V91">
        <v>0.3</v>
      </c>
      <c r="W91">
        <v>8.6666666666666697E-3</v>
      </c>
      <c r="X91">
        <v>0.69199999999999995</v>
      </c>
      <c r="Y91">
        <v>5.7735026918962498E-2</v>
      </c>
      <c r="Z91">
        <v>0.115470053837925</v>
      </c>
      <c r="AA91">
        <v>0.28867513459481198</v>
      </c>
      <c r="AB91">
        <v>0.23094010767584999</v>
      </c>
      <c r="AC91">
        <v>0.17320508075688701</v>
      </c>
      <c r="AD91">
        <v>0.115470053837925</v>
      </c>
      <c r="AE91">
        <v>0.404145188432738</v>
      </c>
      <c r="AF91">
        <v>0.34641016151377502</v>
      </c>
      <c r="AG91">
        <v>5.7735026918962498E-2</v>
      </c>
      <c r="AH91">
        <v>0.115470053837925</v>
      </c>
      <c r="AI91">
        <v>0.404145188432738</v>
      </c>
      <c r="AJ91">
        <v>0.34641016151377502</v>
      </c>
      <c r="AK91">
        <v>0.34641016151377502</v>
      </c>
      <c r="AL91">
        <v>0.17320508075688701</v>
      </c>
      <c r="AM91">
        <v>0.404145188432738</v>
      </c>
      <c r="AN91">
        <v>0.34641016151377502</v>
      </c>
      <c r="AO91">
        <v>0.274818728134261</v>
      </c>
      <c r="AP91">
        <v>8.8334591186012695E-2</v>
      </c>
      <c r="AQ91">
        <v>0.86666666666666603</v>
      </c>
      <c r="AR91">
        <v>0.16666666666666599</v>
      </c>
      <c r="AS91">
        <v>0.79999999999999905</v>
      </c>
      <c r="AT91">
        <v>0.233333333333333</v>
      </c>
      <c r="AU91">
        <v>3.3333333333333298E-2</v>
      </c>
      <c r="AV91">
        <v>1</v>
      </c>
      <c r="AW91">
        <v>5.4333333333333303E-2</v>
      </c>
      <c r="AX91">
        <v>0.47133333333333299</v>
      </c>
      <c r="AY91">
        <v>0.23094010767584999</v>
      </c>
      <c r="AZ91">
        <v>0.28867513459481198</v>
      </c>
      <c r="BA91">
        <v>0.17320508075688701</v>
      </c>
      <c r="BB91">
        <v>0.23094010767584999</v>
      </c>
      <c r="BC91">
        <v>5.7735026918962498E-2</v>
      </c>
      <c r="BD91">
        <v>0</v>
      </c>
      <c r="BE91">
        <v>0.231517457945039</v>
      </c>
      <c r="BF91">
        <v>0.14664696837416399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3</v>
      </c>
      <c r="IM91">
        <v>0</v>
      </c>
      <c r="IN91">
        <v>3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2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3.3333333333333299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1</v>
      </c>
      <c r="TZ91">
        <v>0</v>
      </c>
      <c r="UA91">
        <v>1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0.66666666666666596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</row>
    <row r="92" spans="1:656" x14ac:dyDescent="0.2">
      <c r="A92" t="s">
        <v>831</v>
      </c>
      <c r="D92" t="s">
        <v>659</v>
      </c>
      <c r="E92" t="s">
        <v>660</v>
      </c>
      <c r="F92">
        <v>2</v>
      </c>
      <c r="G92">
        <v>0.4</v>
      </c>
      <c r="H92">
        <v>0.3</v>
      </c>
      <c r="I92">
        <v>0.8</v>
      </c>
      <c r="J92">
        <v>0.2</v>
      </c>
      <c r="K92">
        <v>0.3</v>
      </c>
      <c r="L92">
        <v>0.2</v>
      </c>
      <c r="M92">
        <v>0.9</v>
      </c>
      <c r="N92">
        <v>0.2</v>
      </c>
      <c r="O92">
        <v>0.4</v>
      </c>
      <c r="P92">
        <v>0.3</v>
      </c>
      <c r="Q92">
        <v>0.9</v>
      </c>
      <c r="R92">
        <v>0.2</v>
      </c>
      <c r="S92">
        <v>0.3</v>
      </c>
      <c r="T92">
        <v>0.2</v>
      </c>
      <c r="U92">
        <v>0.9</v>
      </c>
      <c r="V92">
        <v>0.2</v>
      </c>
      <c r="W92">
        <v>-0.71799999999999997</v>
      </c>
      <c r="X92">
        <v>0.45800000000000002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0.2</v>
      </c>
      <c r="AR92">
        <v>0.9</v>
      </c>
      <c r="AS92">
        <v>0.4</v>
      </c>
      <c r="AT92">
        <v>0.9</v>
      </c>
      <c r="AU92">
        <v>0.1</v>
      </c>
      <c r="AV92">
        <v>0.9</v>
      </c>
      <c r="AW92">
        <v>-0.55000000000000004</v>
      </c>
      <c r="AX92">
        <v>8.6999999999999994E-2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5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3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2.5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0.5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1.5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</row>
    <row r="93" spans="1:656" x14ac:dyDescent="0.2">
      <c r="A93" t="s">
        <v>832</v>
      </c>
      <c r="B93" t="s">
        <v>689</v>
      </c>
      <c r="C93" t="s">
        <v>678</v>
      </c>
      <c r="D93" t="s">
        <v>659</v>
      </c>
      <c r="E93" t="s">
        <v>660</v>
      </c>
      <c r="F93">
        <v>2</v>
      </c>
      <c r="G93">
        <v>0.55000000000000004</v>
      </c>
      <c r="H93">
        <v>0.55000000000000004</v>
      </c>
      <c r="I93">
        <v>0.35</v>
      </c>
      <c r="J93">
        <v>0.1</v>
      </c>
      <c r="K93">
        <v>0.6</v>
      </c>
      <c r="L93">
        <v>0.5</v>
      </c>
      <c r="M93">
        <v>0.39999999999999902</v>
      </c>
      <c r="N93">
        <v>0.1</v>
      </c>
      <c r="O93">
        <v>0.55000000000000004</v>
      </c>
      <c r="P93">
        <v>0.55000000000000004</v>
      </c>
      <c r="Q93">
        <v>0.2</v>
      </c>
      <c r="R93">
        <v>0.1</v>
      </c>
      <c r="S93">
        <v>0.6</v>
      </c>
      <c r="T93">
        <v>0.5</v>
      </c>
      <c r="U93">
        <v>0.25</v>
      </c>
      <c r="V93">
        <v>0.1</v>
      </c>
      <c r="W93">
        <v>-0.72299999999999998</v>
      </c>
      <c r="X93">
        <v>0.45650000000000002</v>
      </c>
      <c r="Y93">
        <v>0.49497474683058301</v>
      </c>
      <c r="Z93">
        <v>0.49497474683058301</v>
      </c>
      <c r="AA93">
        <v>0.35355339059327301</v>
      </c>
      <c r="AB93">
        <v>0</v>
      </c>
      <c r="AC93">
        <v>0.56568542494923801</v>
      </c>
      <c r="AD93">
        <v>0.42426406871192801</v>
      </c>
      <c r="AE93">
        <v>0.42426406871192801</v>
      </c>
      <c r="AF93">
        <v>0</v>
      </c>
      <c r="AG93">
        <v>0.49497474683058301</v>
      </c>
      <c r="AH93">
        <v>0.49497474683058301</v>
      </c>
      <c r="AI93">
        <v>0.141421356237309</v>
      </c>
      <c r="AJ93">
        <v>0</v>
      </c>
      <c r="AK93">
        <v>0.56568542494923801</v>
      </c>
      <c r="AL93">
        <v>0.42426406871192801</v>
      </c>
      <c r="AM93">
        <v>0.21213203435596401</v>
      </c>
      <c r="AN93">
        <v>0</v>
      </c>
      <c r="AO93">
        <v>0.81034437123978298</v>
      </c>
      <c r="AP93">
        <v>0.26092240225783597</v>
      </c>
      <c r="AQ93">
        <v>0.6</v>
      </c>
      <c r="AR93">
        <v>0.45</v>
      </c>
      <c r="AS93">
        <v>0.55000000000000004</v>
      </c>
      <c r="AT93">
        <v>0.39999999999999902</v>
      </c>
      <c r="AU93">
        <v>0.05</v>
      </c>
      <c r="AV93">
        <v>0.75</v>
      </c>
      <c r="AW93">
        <v>-0.11849999999999999</v>
      </c>
      <c r="AX93">
        <v>0.36149999999999999</v>
      </c>
      <c r="AY93">
        <v>0.56568542494923801</v>
      </c>
      <c r="AZ93">
        <v>0.63639610306789196</v>
      </c>
      <c r="BA93">
        <v>0.49497474683058301</v>
      </c>
      <c r="BB93">
        <v>0.42426406871192801</v>
      </c>
      <c r="BC93">
        <v>7.0710678118654696E-2</v>
      </c>
      <c r="BD93">
        <v>0.35355339059327301</v>
      </c>
      <c r="BE93">
        <v>0.43345645686735301</v>
      </c>
      <c r="BF93">
        <v>0.27506453788156698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2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3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1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1.5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</row>
    <row r="94" spans="1:656" x14ac:dyDescent="0.2">
      <c r="A94" t="s">
        <v>833</v>
      </c>
      <c r="B94" t="s">
        <v>815</v>
      </c>
      <c r="C94" t="s">
        <v>667</v>
      </c>
      <c r="D94" t="s">
        <v>834</v>
      </c>
      <c r="E94" t="s">
        <v>808</v>
      </c>
      <c r="F94">
        <v>5</v>
      </c>
      <c r="G94">
        <v>0.78</v>
      </c>
      <c r="H94">
        <v>0.74</v>
      </c>
      <c r="I94">
        <v>0.1</v>
      </c>
      <c r="J94">
        <v>0.1</v>
      </c>
      <c r="K94">
        <v>0.86</v>
      </c>
      <c r="L94">
        <v>0.65999999999999903</v>
      </c>
      <c r="M94">
        <v>0.1</v>
      </c>
      <c r="N94">
        <v>0.1</v>
      </c>
      <c r="O94">
        <v>0.88</v>
      </c>
      <c r="P94">
        <v>0.72</v>
      </c>
      <c r="Q94">
        <v>0.1</v>
      </c>
      <c r="R94">
        <v>0.1</v>
      </c>
      <c r="S94">
        <v>1</v>
      </c>
      <c r="T94">
        <v>0.65999999999999903</v>
      </c>
      <c r="U94">
        <v>0.1</v>
      </c>
      <c r="V94">
        <v>0.1</v>
      </c>
      <c r="W94">
        <v>-0.38239999999999902</v>
      </c>
      <c r="X94">
        <v>0.56579999999999997</v>
      </c>
      <c r="Y94">
        <v>0.268328157299974</v>
      </c>
      <c r="Z94">
        <v>0.19493588689617899</v>
      </c>
      <c r="AA94">
        <v>0</v>
      </c>
      <c r="AB94">
        <v>0</v>
      </c>
      <c r="AC94">
        <v>0.31304951684997001</v>
      </c>
      <c r="AD94">
        <v>0.15165750888103099</v>
      </c>
      <c r="AE94">
        <v>0</v>
      </c>
      <c r="AF94">
        <v>0</v>
      </c>
      <c r="AG94">
        <v>4.4721359549995801E-2</v>
      </c>
      <c r="AH94">
        <v>0.23874672772626601</v>
      </c>
      <c r="AI94">
        <v>0</v>
      </c>
      <c r="AJ94">
        <v>0</v>
      </c>
      <c r="AK94">
        <v>0</v>
      </c>
      <c r="AL94">
        <v>0.15165750888103099</v>
      </c>
      <c r="AM94">
        <v>0</v>
      </c>
      <c r="AN94">
        <v>0</v>
      </c>
      <c r="AO94">
        <v>0.31946016966125801</v>
      </c>
      <c r="AP94">
        <v>0.102543649242651</v>
      </c>
      <c r="AQ94">
        <v>0.9</v>
      </c>
      <c r="AR94">
        <v>0.13999999999999899</v>
      </c>
      <c r="AS94">
        <v>0.8</v>
      </c>
      <c r="AT94">
        <v>0.14000000000000001</v>
      </c>
      <c r="AU94">
        <v>0.08</v>
      </c>
      <c r="AV94">
        <v>0.78</v>
      </c>
      <c r="AW94">
        <v>0.19259999999999999</v>
      </c>
      <c r="AX94">
        <v>0.55899999999999905</v>
      </c>
      <c r="AY94">
        <v>7.0710678118654696E-2</v>
      </c>
      <c r="AZ94">
        <v>0.15165750888103099</v>
      </c>
      <c r="BA94">
        <v>7.0710678118654696E-2</v>
      </c>
      <c r="BB94">
        <v>5.4772255750516599E-2</v>
      </c>
      <c r="BC94">
        <v>4.4721359549995697E-2</v>
      </c>
      <c r="BD94">
        <v>0.32710854467592199</v>
      </c>
      <c r="BE94">
        <v>6.2239858611664499E-2</v>
      </c>
      <c r="BF94">
        <v>3.9408120990475998E-2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7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2</v>
      </c>
      <c r="EA94">
        <v>3</v>
      </c>
      <c r="EB94">
        <v>3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2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2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1.4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0.4</v>
      </c>
      <c r="PN94">
        <v>0.6</v>
      </c>
      <c r="PO94">
        <v>0.6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0.4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0.4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</row>
    <row r="95" spans="1:656" x14ac:dyDescent="0.2">
      <c r="A95" t="s">
        <v>835</v>
      </c>
      <c r="B95" t="s">
        <v>815</v>
      </c>
      <c r="D95" t="s">
        <v>746</v>
      </c>
      <c r="E95" t="s">
        <v>747</v>
      </c>
      <c r="F95">
        <v>5</v>
      </c>
      <c r="G95">
        <v>0.9</v>
      </c>
      <c r="H95">
        <v>0.82</v>
      </c>
      <c r="I95">
        <v>0.27999999999999903</v>
      </c>
      <c r="J95">
        <v>0.27999999999999903</v>
      </c>
      <c r="K95">
        <v>0.96</v>
      </c>
      <c r="L95">
        <v>0.72</v>
      </c>
      <c r="M95">
        <v>0.42</v>
      </c>
      <c r="N95">
        <v>0.38</v>
      </c>
      <c r="O95">
        <v>0.88</v>
      </c>
      <c r="P95">
        <v>0.78</v>
      </c>
      <c r="Q95">
        <v>0.45999999999999902</v>
      </c>
      <c r="R95">
        <v>0.45999999999999902</v>
      </c>
      <c r="S95">
        <v>0.78</v>
      </c>
      <c r="T95">
        <v>0.63999999999999901</v>
      </c>
      <c r="U95">
        <v>0.45999999999999902</v>
      </c>
      <c r="V95">
        <v>0.45999999999999902</v>
      </c>
      <c r="W95">
        <v>0.1618</v>
      </c>
      <c r="X95">
        <v>0.74059999999999904</v>
      </c>
      <c r="Y95">
        <v>0</v>
      </c>
      <c r="Z95">
        <v>4.4721359549995697E-2</v>
      </c>
      <c r="AA95">
        <v>0.24899799195977401</v>
      </c>
      <c r="AB95">
        <v>0.24899799195977401</v>
      </c>
      <c r="AC95">
        <v>8.9442719099991505E-2</v>
      </c>
      <c r="AD95">
        <v>4.4721359549995801E-2</v>
      </c>
      <c r="AE95">
        <v>0.43817804600413202</v>
      </c>
      <c r="AF95">
        <v>0.38340579025361599</v>
      </c>
      <c r="AG95">
        <v>4.4721359549995697E-2</v>
      </c>
      <c r="AH95">
        <v>4.4721359549995801E-2</v>
      </c>
      <c r="AI95">
        <v>0.49295030175464899</v>
      </c>
      <c r="AJ95">
        <v>0.49295030175464899</v>
      </c>
      <c r="AK95">
        <v>0.30331501776206199</v>
      </c>
      <c r="AL95">
        <v>8.9442719099991505E-2</v>
      </c>
      <c r="AM95">
        <v>0.49295030175464899</v>
      </c>
      <c r="AN95">
        <v>0.49295030175464899</v>
      </c>
      <c r="AO95">
        <v>0.59978762908216099</v>
      </c>
      <c r="AP95">
        <v>0.193034452883416</v>
      </c>
      <c r="AQ95">
        <v>0.88</v>
      </c>
      <c r="AR95">
        <v>0.12</v>
      </c>
      <c r="AS95">
        <v>0.76</v>
      </c>
      <c r="AT95">
        <v>0.3</v>
      </c>
      <c r="AU95">
        <v>0.1</v>
      </c>
      <c r="AV95">
        <v>0.94</v>
      </c>
      <c r="AW95">
        <v>8.5199999999999998E-2</v>
      </c>
      <c r="AX95">
        <v>0.4904</v>
      </c>
      <c r="AY95">
        <v>4.4721359549995697E-2</v>
      </c>
      <c r="AZ95">
        <v>4.4721359549995697E-2</v>
      </c>
      <c r="BA95">
        <v>5.4772255750516599E-2</v>
      </c>
      <c r="BB95">
        <v>9.9999999999999895E-2</v>
      </c>
      <c r="BC95">
        <v>0</v>
      </c>
      <c r="BD95">
        <v>5.4772255750516502E-2</v>
      </c>
      <c r="BE95">
        <v>6.0709966232901098E-2</v>
      </c>
      <c r="BF95">
        <v>3.8946116622841802E-2</v>
      </c>
      <c r="BG95">
        <v>2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4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4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2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3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3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7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3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8</v>
      </c>
      <c r="MK95">
        <v>0</v>
      </c>
      <c r="ML95">
        <v>0</v>
      </c>
      <c r="MM95">
        <v>9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0.4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0.2</v>
      </c>
      <c r="OZ95">
        <v>0</v>
      </c>
      <c r="PA95">
        <v>0</v>
      </c>
      <c r="PB95">
        <v>0</v>
      </c>
      <c r="PC95">
        <v>0.8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0.8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0.4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0.6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0.6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1.4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0.6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1.6</v>
      </c>
      <c r="XX95">
        <v>0</v>
      </c>
      <c r="XY95">
        <v>0</v>
      </c>
      <c r="XZ95">
        <v>1.8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</row>
    <row r="96" spans="1:656" x14ac:dyDescent="0.2">
      <c r="A96" t="s">
        <v>836</v>
      </c>
      <c r="D96" t="s">
        <v>668</v>
      </c>
      <c r="E96" t="s">
        <v>660</v>
      </c>
      <c r="F96">
        <v>1</v>
      </c>
      <c r="G96">
        <v>0.9</v>
      </c>
      <c r="H96">
        <v>0.3</v>
      </c>
      <c r="I96">
        <v>0.1</v>
      </c>
      <c r="J96">
        <v>0.1</v>
      </c>
      <c r="K96">
        <v>0.9</v>
      </c>
      <c r="L96">
        <v>0.3</v>
      </c>
      <c r="M96">
        <v>0.1</v>
      </c>
      <c r="N96">
        <v>0.1</v>
      </c>
      <c r="O96">
        <v>0.9</v>
      </c>
      <c r="P96">
        <v>0.3</v>
      </c>
      <c r="Q96">
        <v>0.1</v>
      </c>
      <c r="R96">
        <v>0.1</v>
      </c>
      <c r="S96">
        <v>1</v>
      </c>
      <c r="T96">
        <v>0.3</v>
      </c>
      <c r="U96">
        <v>0.1</v>
      </c>
      <c r="V96">
        <v>0.1</v>
      </c>
      <c r="W96">
        <v>-0.83299999999999996</v>
      </c>
      <c r="X96">
        <v>0.42099999999999999</v>
      </c>
      <c r="AQ96">
        <v>1</v>
      </c>
      <c r="AR96">
        <v>0.1</v>
      </c>
      <c r="AS96">
        <v>0.8</v>
      </c>
      <c r="AT96">
        <v>0.1</v>
      </c>
      <c r="AU96">
        <v>0.2</v>
      </c>
      <c r="AV96">
        <v>0.1</v>
      </c>
      <c r="AW96">
        <v>0.53800000000000003</v>
      </c>
      <c r="AX96">
        <v>0.77800000000000002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2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2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</row>
    <row r="97" spans="1:656" x14ac:dyDescent="0.2">
      <c r="A97" t="s">
        <v>837</v>
      </c>
      <c r="B97" t="s">
        <v>838</v>
      </c>
      <c r="D97" t="s">
        <v>839</v>
      </c>
      <c r="E97" t="s">
        <v>660</v>
      </c>
      <c r="F97">
        <v>11</v>
      </c>
      <c r="G97">
        <v>0.9</v>
      </c>
      <c r="H97">
        <v>0.74545454545454504</v>
      </c>
      <c r="I97">
        <v>0.236363636363636</v>
      </c>
      <c r="J97">
        <v>0.22727272727272699</v>
      </c>
      <c r="K97">
        <v>0.96363636363636296</v>
      </c>
      <c r="L97">
        <v>0.67272727272727195</v>
      </c>
      <c r="M97">
        <v>0.30909090909090903</v>
      </c>
      <c r="N97">
        <v>0.28181818181818102</v>
      </c>
      <c r="O97">
        <v>0.89090909090909098</v>
      </c>
      <c r="P97">
        <v>0.72727272727272696</v>
      </c>
      <c r="Q97">
        <v>0.354545454545454</v>
      </c>
      <c r="R97">
        <v>0.354545454545454</v>
      </c>
      <c r="S97">
        <v>0.89090909090909098</v>
      </c>
      <c r="T97">
        <v>0.64545454545454495</v>
      </c>
      <c r="U97">
        <v>0.354545454545454</v>
      </c>
      <c r="V97">
        <v>0.36363636363636298</v>
      </c>
      <c r="W97">
        <v>-1.90909090909092E-3</v>
      </c>
      <c r="X97">
        <v>0.68836363636363596</v>
      </c>
      <c r="Y97">
        <v>0</v>
      </c>
      <c r="Z97">
        <v>0.206705763652764</v>
      </c>
      <c r="AA97">
        <v>0.23779288161224299</v>
      </c>
      <c r="AB97">
        <v>0.22401298663652999</v>
      </c>
      <c r="AC97">
        <v>5.0452497910951202E-2</v>
      </c>
      <c r="AD97">
        <v>0.161807966991178</v>
      </c>
      <c r="AE97">
        <v>0.34191971412758698</v>
      </c>
      <c r="AF97">
        <v>0.29603439603593901</v>
      </c>
      <c r="AG97">
        <v>3.0151134457776299E-2</v>
      </c>
      <c r="AH97">
        <v>0.22401298663652999</v>
      </c>
      <c r="AI97">
        <v>0.37779263191236601</v>
      </c>
      <c r="AJ97">
        <v>0.375136338851986</v>
      </c>
      <c r="AK97">
        <v>0.22115399817568501</v>
      </c>
      <c r="AL97">
        <v>0.15724907862137899</v>
      </c>
      <c r="AM97">
        <v>0.36976651109487002</v>
      </c>
      <c r="AN97">
        <v>0.36952057391362397</v>
      </c>
      <c r="AO97">
        <v>0.57260692530661095</v>
      </c>
      <c r="AP97">
        <v>0.18411207061313101</v>
      </c>
      <c r="AQ97">
        <v>0.91818181818181799</v>
      </c>
      <c r="AR97">
        <v>0.1</v>
      </c>
      <c r="AS97">
        <v>0.84545454545454501</v>
      </c>
      <c r="AT97">
        <v>0.20909090909090899</v>
      </c>
      <c r="AU97">
        <v>0.2</v>
      </c>
      <c r="AV97">
        <v>0.69090909090909003</v>
      </c>
      <c r="AW97">
        <v>0.28545454545454502</v>
      </c>
      <c r="AX97">
        <v>0.61754545454545395</v>
      </c>
      <c r="AY97">
        <v>8.7386289750530297E-2</v>
      </c>
      <c r="AZ97">
        <v>7.7459666924148296E-2</v>
      </c>
      <c r="BA97">
        <v>6.8755165095232801E-2</v>
      </c>
      <c r="BB97">
        <v>0.15782614139961301</v>
      </c>
      <c r="BC97">
        <v>0.15491933384829601</v>
      </c>
      <c r="BD97">
        <v>0.33601947995479498</v>
      </c>
      <c r="BE97">
        <v>0.17423912513345699</v>
      </c>
      <c r="BF97">
        <v>0.11051277178350299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4</v>
      </c>
      <c r="BV97">
        <v>0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4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0</v>
      </c>
      <c r="CO97">
        <v>0</v>
      </c>
      <c r="CP97">
        <v>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4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8</v>
      </c>
      <c r="DR97">
        <v>0</v>
      </c>
      <c r="DS97">
        <v>0</v>
      </c>
      <c r="DT97">
        <v>0</v>
      </c>
      <c r="DU97">
        <v>0</v>
      </c>
      <c r="DV97">
        <v>4</v>
      </c>
      <c r="DW97">
        <v>0</v>
      </c>
      <c r="DX97">
        <v>0</v>
      </c>
      <c r="DY97">
        <v>0</v>
      </c>
      <c r="DZ97">
        <v>0</v>
      </c>
      <c r="EA97">
        <v>3</v>
      </c>
      <c r="EB97">
        <v>5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4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4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2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5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2</v>
      </c>
      <c r="IN97">
        <v>5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6</v>
      </c>
      <c r="JA97">
        <v>0</v>
      </c>
      <c r="JB97">
        <v>3</v>
      </c>
      <c r="JC97">
        <v>0</v>
      </c>
      <c r="JD97">
        <v>0</v>
      </c>
      <c r="JE97">
        <v>0</v>
      </c>
      <c r="JF97">
        <v>6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5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2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2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0.18181818181818099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0.36363636363636298</v>
      </c>
      <c r="NI97">
        <v>0</v>
      </c>
      <c r="NJ97">
        <v>0.18181818181818099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0.36363636363636298</v>
      </c>
      <c r="NT97">
        <v>0</v>
      </c>
      <c r="NU97">
        <v>0</v>
      </c>
      <c r="NV97">
        <v>0</v>
      </c>
      <c r="NW97">
        <v>0</v>
      </c>
      <c r="NX97">
        <v>0.18181818181818099</v>
      </c>
      <c r="NY97">
        <v>0</v>
      </c>
      <c r="NZ97">
        <v>0</v>
      </c>
      <c r="OA97">
        <v>0</v>
      </c>
      <c r="OB97">
        <v>0</v>
      </c>
      <c r="OC97">
        <v>0.27272727272727199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0.36363636363636298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0.72727272727272696</v>
      </c>
      <c r="PE97">
        <v>0</v>
      </c>
      <c r="PF97">
        <v>0</v>
      </c>
      <c r="PG97">
        <v>0</v>
      </c>
      <c r="PH97">
        <v>0</v>
      </c>
      <c r="PI97">
        <v>0.36363636363636298</v>
      </c>
      <c r="PJ97">
        <v>0</v>
      </c>
      <c r="PK97">
        <v>0</v>
      </c>
      <c r="PL97">
        <v>0</v>
      </c>
      <c r="PM97">
        <v>0</v>
      </c>
      <c r="PN97">
        <v>0.27272727272727199</v>
      </c>
      <c r="PO97">
        <v>0.45454545454545398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0.36363636363636298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0.36363636363636298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0.18181818181818099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0.45454545454545398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0.18181818181818099</v>
      </c>
      <c r="UA97">
        <v>0.45454545454545398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0.54545454545454497</v>
      </c>
      <c r="UN97">
        <v>0</v>
      </c>
      <c r="UO97">
        <v>0.27272727272727199</v>
      </c>
      <c r="UP97">
        <v>0</v>
      </c>
      <c r="UQ97">
        <v>0</v>
      </c>
      <c r="UR97">
        <v>0</v>
      </c>
      <c r="US97">
        <v>0.54545454545454497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0.45454545454545398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0.18181818181818099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0.18181818181818099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</row>
    <row r="98" spans="1:656" x14ac:dyDescent="0.2">
      <c r="A98" t="s">
        <v>840</v>
      </c>
      <c r="B98" t="s">
        <v>841</v>
      </c>
      <c r="C98" t="s">
        <v>667</v>
      </c>
      <c r="D98" t="s">
        <v>674</v>
      </c>
      <c r="E98" t="s">
        <v>660</v>
      </c>
      <c r="F98">
        <v>5</v>
      </c>
      <c r="G98">
        <v>0.76</v>
      </c>
      <c r="H98">
        <v>0.7</v>
      </c>
      <c r="I98">
        <v>0.1</v>
      </c>
      <c r="J98">
        <v>0.1</v>
      </c>
      <c r="K98">
        <v>0.82</v>
      </c>
      <c r="L98">
        <v>0.62</v>
      </c>
      <c r="M98">
        <v>0.1</v>
      </c>
      <c r="N98">
        <v>0.1</v>
      </c>
      <c r="O98">
        <v>0.9</v>
      </c>
      <c r="P98">
        <v>0.7</v>
      </c>
      <c r="Q98">
        <v>0.1</v>
      </c>
      <c r="R98">
        <v>0.1</v>
      </c>
      <c r="S98">
        <v>0.98</v>
      </c>
      <c r="T98">
        <v>0.64</v>
      </c>
      <c r="U98">
        <v>0.1</v>
      </c>
      <c r="V98">
        <v>0.1</v>
      </c>
      <c r="W98">
        <v>-0.42659999999999998</v>
      </c>
      <c r="X98">
        <v>0.55179999999999996</v>
      </c>
      <c r="Y98">
        <v>0.26076809620810598</v>
      </c>
      <c r="Z98">
        <v>0.27386127875258298</v>
      </c>
      <c r="AA98">
        <v>0</v>
      </c>
      <c r="AB98">
        <v>0</v>
      </c>
      <c r="AC98">
        <v>0.30331501776206199</v>
      </c>
      <c r="AD98">
        <v>0.24899799195977401</v>
      </c>
      <c r="AE98">
        <v>0</v>
      </c>
      <c r="AF98">
        <v>0</v>
      </c>
      <c r="AG98">
        <v>0</v>
      </c>
      <c r="AH98">
        <v>0.28284271247461901</v>
      </c>
      <c r="AI98">
        <v>0</v>
      </c>
      <c r="AJ98">
        <v>0</v>
      </c>
      <c r="AK98">
        <v>4.4721359549995697E-2</v>
      </c>
      <c r="AL98">
        <v>0.21908902300206601</v>
      </c>
      <c r="AM98">
        <v>0</v>
      </c>
      <c r="AN98">
        <v>0</v>
      </c>
      <c r="AO98">
        <v>0.38174572689160502</v>
      </c>
      <c r="AP98">
        <v>0.123128794357778</v>
      </c>
      <c r="AQ98">
        <v>0.9</v>
      </c>
      <c r="AR98">
        <v>0.13999999999999899</v>
      </c>
      <c r="AS98">
        <v>0.78</v>
      </c>
      <c r="AT98">
        <v>0.16</v>
      </c>
      <c r="AU98">
        <v>0.1</v>
      </c>
      <c r="AV98">
        <v>0.8</v>
      </c>
      <c r="AW98">
        <v>0.1802</v>
      </c>
      <c r="AX98">
        <v>0.55059999999999998</v>
      </c>
      <c r="AY98">
        <v>0.122474487139158</v>
      </c>
      <c r="AZ98">
        <v>0.207364413533277</v>
      </c>
      <c r="BA98">
        <v>0.216794833886788</v>
      </c>
      <c r="BB98">
        <v>8.9442719099991505E-2</v>
      </c>
      <c r="BC98">
        <v>0</v>
      </c>
      <c r="BD98">
        <v>0.33911649915626302</v>
      </c>
      <c r="BE98">
        <v>0.22175594693265799</v>
      </c>
      <c r="BF98">
        <v>0.140745515026234</v>
      </c>
      <c r="BG98">
        <v>6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10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1</v>
      </c>
      <c r="MK98">
        <v>0</v>
      </c>
      <c r="ML98">
        <v>0</v>
      </c>
      <c r="MM98">
        <v>0</v>
      </c>
      <c r="MN98">
        <v>0</v>
      </c>
      <c r="MO98">
        <v>3</v>
      </c>
      <c r="MP98">
        <v>0</v>
      </c>
      <c r="MQ98">
        <v>0</v>
      </c>
      <c r="MR98">
        <v>0</v>
      </c>
      <c r="MS98">
        <v>0</v>
      </c>
      <c r="MT98">
        <v>1.2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0.4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0.4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0.4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2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0.2</v>
      </c>
      <c r="XX98">
        <v>0</v>
      </c>
      <c r="XY98">
        <v>0</v>
      </c>
      <c r="XZ98">
        <v>0</v>
      </c>
      <c r="YA98">
        <v>0</v>
      </c>
      <c r="YB98">
        <v>0.6</v>
      </c>
      <c r="YC98">
        <v>0</v>
      </c>
      <c r="YD98">
        <v>0</v>
      </c>
      <c r="YE98">
        <v>0</v>
      </c>
      <c r="YF98">
        <v>0</v>
      </c>
    </row>
    <row r="99" spans="1:656" x14ac:dyDescent="0.2">
      <c r="A99" t="s">
        <v>842</v>
      </c>
      <c r="B99" t="s">
        <v>841</v>
      </c>
      <c r="D99" t="s">
        <v>818</v>
      </c>
      <c r="E99" t="s">
        <v>760</v>
      </c>
      <c r="F99">
        <v>4</v>
      </c>
      <c r="G99">
        <v>0.52500000000000002</v>
      </c>
      <c r="H99">
        <v>0.45</v>
      </c>
      <c r="I99">
        <v>0.54999999999999905</v>
      </c>
      <c r="J99">
        <v>0.17499999999999999</v>
      </c>
      <c r="K99">
        <v>0.47499999999999998</v>
      </c>
      <c r="L99">
        <v>0.35</v>
      </c>
      <c r="M99">
        <v>0.625</v>
      </c>
      <c r="N99">
        <v>0.17499999999999999</v>
      </c>
      <c r="O99">
        <v>0.52500000000000002</v>
      </c>
      <c r="P99">
        <v>0.45</v>
      </c>
      <c r="Q99">
        <v>0.625</v>
      </c>
      <c r="R99">
        <v>0.17499999999999999</v>
      </c>
      <c r="S99">
        <v>0.47499999999999998</v>
      </c>
      <c r="T99">
        <v>0.35</v>
      </c>
      <c r="U99">
        <v>0.625</v>
      </c>
      <c r="V99">
        <v>0.17499999999999999</v>
      </c>
      <c r="W99">
        <v>-0.63075000000000003</v>
      </c>
      <c r="X99">
        <v>0.48575000000000002</v>
      </c>
      <c r="Y99">
        <v>0.25</v>
      </c>
      <c r="Z99">
        <v>0.3</v>
      </c>
      <c r="AA99">
        <v>0.3</v>
      </c>
      <c r="AB99">
        <v>0.05</v>
      </c>
      <c r="AC99">
        <v>0.35</v>
      </c>
      <c r="AD99">
        <v>0.3</v>
      </c>
      <c r="AE99">
        <v>0.35</v>
      </c>
      <c r="AF99">
        <v>0.05</v>
      </c>
      <c r="AG99">
        <v>0.25</v>
      </c>
      <c r="AH99">
        <v>0.3</v>
      </c>
      <c r="AI99">
        <v>0.35</v>
      </c>
      <c r="AJ99">
        <v>0.05</v>
      </c>
      <c r="AK99">
        <v>0.35</v>
      </c>
      <c r="AL99">
        <v>0.3</v>
      </c>
      <c r="AM99">
        <v>0.35</v>
      </c>
      <c r="AN99">
        <v>0.05</v>
      </c>
      <c r="AO99">
        <v>0.32050000000000001</v>
      </c>
      <c r="AP99">
        <v>0.10349999999999999</v>
      </c>
      <c r="AQ99">
        <v>0.375</v>
      </c>
      <c r="AR99">
        <v>0.7</v>
      </c>
      <c r="AS99">
        <v>0.5</v>
      </c>
      <c r="AT99">
        <v>0.72499999999999998</v>
      </c>
      <c r="AU99">
        <v>0.1</v>
      </c>
      <c r="AV99">
        <v>0.9</v>
      </c>
      <c r="AW99">
        <v>-0.375</v>
      </c>
      <c r="AX99">
        <v>0.19825000000000001</v>
      </c>
      <c r="AY99">
        <v>0.35</v>
      </c>
      <c r="AZ99">
        <v>0.4</v>
      </c>
      <c r="BA99">
        <v>0.2</v>
      </c>
      <c r="BB99">
        <v>0.35</v>
      </c>
      <c r="BC99">
        <v>0</v>
      </c>
      <c r="BD99">
        <v>0</v>
      </c>
      <c r="BE99">
        <v>0.35</v>
      </c>
      <c r="BF99">
        <v>0.2225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9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7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3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7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6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1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2.25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1.75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0.75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1.75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1.5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</row>
    <row r="100" spans="1:656" x14ac:dyDescent="0.2">
      <c r="A100" t="s">
        <v>843</v>
      </c>
      <c r="B100" t="s">
        <v>844</v>
      </c>
      <c r="C100" t="s">
        <v>667</v>
      </c>
      <c r="D100" t="s">
        <v>664</v>
      </c>
      <c r="E100" t="s">
        <v>660</v>
      </c>
      <c r="F100">
        <v>3</v>
      </c>
      <c r="G100">
        <v>0.73333333333333295</v>
      </c>
      <c r="H100">
        <v>0.53333333333333299</v>
      </c>
      <c r="I100">
        <v>0.43333333333333302</v>
      </c>
      <c r="J100">
        <v>0.233333333333333</v>
      </c>
      <c r="K100">
        <v>0.66666666666666596</v>
      </c>
      <c r="L100">
        <v>0.46666666666666601</v>
      </c>
      <c r="M100">
        <v>0.63333333333333297</v>
      </c>
      <c r="N100">
        <v>0.36666666666666597</v>
      </c>
      <c r="O100">
        <v>0.63333333333333297</v>
      </c>
      <c r="P100">
        <v>0.6</v>
      </c>
      <c r="Q100">
        <v>0.86666666666666603</v>
      </c>
      <c r="R100">
        <v>0.63333333333333297</v>
      </c>
      <c r="S100">
        <v>0.43333333333333302</v>
      </c>
      <c r="T100">
        <v>0.43333333333333302</v>
      </c>
      <c r="U100">
        <v>0.9</v>
      </c>
      <c r="V100">
        <v>0.63333333333333297</v>
      </c>
      <c r="W100">
        <v>3.6666666666667E-3</v>
      </c>
      <c r="X100">
        <v>0.69033333333333302</v>
      </c>
      <c r="Y100">
        <v>0.28867513459481198</v>
      </c>
      <c r="Z100">
        <v>0.25166114784235799</v>
      </c>
      <c r="AA100">
        <v>0.351188458428424</v>
      </c>
      <c r="AB100">
        <v>0.152752523165194</v>
      </c>
      <c r="AC100">
        <v>0.321455025366431</v>
      </c>
      <c r="AD100">
        <v>0.25166114784235799</v>
      </c>
      <c r="AE100">
        <v>0.46188021535169999</v>
      </c>
      <c r="AF100">
        <v>0.37859388972001801</v>
      </c>
      <c r="AG100">
        <v>0.20816659994661299</v>
      </c>
      <c r="AH100">
        <v>0.26457513110645903</v>
      </c>
      <c r="AI100">
        <v>0.152752523165194</v>
      </c>
      <c r="AJ100">
        <v>0.404145188432738</v>
      </c>
      <c r="AK100">
        <v>0.152752523165194</v>
      </c>
      <c r="AL100">
        <v>0.20816659994661299</v>
      </c>
      <c r="AM100">
        <v>9.9999999999999895E-2</v>
      </c>
      <c r="AN100">
        <v>0.404145188432738</v>
      </c>
      <c r="AO100">
        <v>0.69303847897020299</v>
      </c>
      <c r="AP100">
        <v>0.223150920529881</v>
      </c>
      <c r="AQ100">
        <v>0.6</v>
      </c>
      <c r="AR100">
        <v>0.43333333333333302</v>
      </c>
      <c r="AS100">
        <v>0.56666666666666599</v>
      </c>
      <c r="AT100">
        <v>0.66666666666666596</v>
      </c>
      <c r="AU100">
        <v>0.3</v>
      </c>
      <c r="AV100">
        <v>0.93333333333333302</v>
      </c>
      <c r="AW100">
        <v>-0.15033333333333301</v>
      </c>
      <c r="AX100">
        <v>0.34099999999999903</v>
      </c>
      <c r="AY100">
        <v>0.36055512754639801</v>
      </c>
      <c r="AZ100">
        <v>0.41633319989322598</v>
      </c>
      <c r="BA100">
        <v>0.23094010767584999</v>
      </c>
      <c r="BB100">
        <v>0.20816659994661299</v>
      </c>
      <c r="BC100">
        <v>0.26457513110645903</v>
      </c>
      <c r="BD100">
        <v>5.7735026918962498E-2</v>
      </c>
      <c r="BE100">
        <v>0.41006869343237201</v>
      </c>
      <c r="BF100">
        <v>0.26031519356349497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4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3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4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3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0.33333333333333298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1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1.3333333333333299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1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1.3333333333333299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1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</row>
    <row r="101" spans="1:656" x14ac:dyDescent="0.2">
      <c r="A101" t="s">
        <v>845</v>
      </c>
      <c r="D101" t="s">
        <v>846</v>
      </c>
      <c r="E101" t="s">
        <v>808</v>
      </c>
      <c r="F101">
        <v>4</v>
      </c>
      <c r="G101">
        <v>0.875</v>
      </c>
      <c r="H101">
        <v>0.82499999999999996</v>
      </c>
      <c r="I101">
        <v>0.44999999999999901</v>
      </c>
      <c r="J101">
        <v>0.42499999999999999</v>
      </c>
      <c r="K101">
        <v>0.9</v>
      </c>
      <c r="L101">
        <v>0.72499999999999998</v>
      </c>
      <c r="M101">
        <v>0.5</v>
      </c>
      <c r="N101">
        <v>0.47499999999999998</v>
      </c>
      <c r="O101">
        <v>0.85</v>
      </c>
      <c r="P101">
        <v>0.8</v>
      </c>
      <c r="Q101">
        <v>0.5</v>
      </c>
      <c r="R101">
        <v>0.47499999999999998</v>
      </c>
      <c r="S101">
        <v>0.75</v>
      </c>
      <c r="T101">
        <v>0.7</v>
      </c>
      <c r="U101">
        <v>0.5</v>
      </c>
      <c r="V101">
        <v>0.47499999999999998</v>
      </c>
      <c r="W101">
        <v>0.27174999999999999</v>
      </c>
      <c r="X101">
        <v>0.77649999999999997</v>
      </c>
      <c r="Y101">
        <v>4.9999999999999899E-2</v>
      </c>
      <c r="Z101">
        <v>9.5742710775633802E-2</v>
      </c>
      <c r="AA101">
        <v>0.41231056256176601</v>
      </c>
      <c r="AB101">
        <v>0.39475730941089998</v>
      </c>
      <c r="AC101">
        <v>0.141421356237309</v>
      </c>
      <c r="AD101">
        <v>9.5742710775633802E-2</v>
      </c>
      <c r="AE101">
        <v>0.46188021535169999</v>
      </c>
      <c r="AF101">
        <v>0.43493294502332902</v>
      </c>
      <c r="AG101">
        <v>5.7735026918962498E-2</v>
      </c>
      <c r="AH101">
        <v>0.115470053837925</v>
      </c>
      <c r="AI101">
        <v>0.46188021535169999</v>
      </c>
      <c r="AJ101">
        <v>0.43493294502332902</v>
      </c>
      <c r="AK101">
        <v>0.3</v>
      </c>
      <c r="AL101">
        <v>0.141421356237309</v>
      </c>
      <c r="AM101">
        <v>0.46188021535169999</v>
      </c>
      <c r="AN101">
        <v>0.43493294502332902</v>
      </c>
      <c r="AO101">
        <v>0.49498712104457798</v>
      </c>
      <c r="AP101">
        <v>0.15905030650709201</v>
      </c>
      <c r="AQ101">
        <v>0.875</v>
      </c>
      <c r="AR101">
        <v>0.125</v>
      </c>
      <c r="AS101">
        <v>0.92500000000000004</v>
      </c>
      <c r="AT101">
        <v>0.2</v>
      </c>
      <c r="AU101">
        <v>0.42499999999999999</v>
      </c>
      <c r="AV101">
        <v>0.72499999999999998</v>
      </c>
      <c r="AW101">
        <v>0.37224999999999903</v>
      </c>
      <c r="AX101">
        <v>0.67274999999999996</v>
      </c>
      <c r="AY101">
        <v>0.125830573921179</v>
      </c>
      <c r="AZ101">
        <v>0.125830573921179</v>
      </c>
      <c r="BA101">
        <v>4.9999999999999899E-2</v>
      </c>
      <c r="BB101">
        <v>0.141421356237309</v>
      </c>
      <c r="BC101">
        <v>0.44253060157839103</v>
      </c>
      <c r="BD101">
        <v>0.309569593683445</v>
      </c>
      <c r="BE101">
        <v>0.260241394350194</v>
      </c>
      <c r="BF101">
        <v>0.165506042185776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3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4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3</v>
      </c>
      <c r="JA101">
        <v>4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6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0.5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0.5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0.75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1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0.75</v>
      </c>
      <c r="UN101">
        <v>1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1.5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</row>
    <row r="102" spans="1:656" x14ac:dyDescent="0.2">
      <c r="A102" t="s">
        <v>847</v>
      </c>
      <c r="B102" t="s">
        <v>848</v>
      </c>
      <c r="C102" t="s">
        <v>658</v>
      </c>
      <c r="D102" t="s">
        <v>732</v>
      </c>
      <c r="E102" t="s">
        <v>733</v>
      </c>
      <c r="F102">
        <v>2</v>
      </c>
      <c r="G102">
        <v>0.9</v>
      </c>
      <c r="H102">
        <v>0.8</v>
      </c>
      <c r="I102">
        <v>0.1</v>
      </c>
      <c r="J102">
        <v>0.1</v>
      </c>
      <c r="K102">
        <v>0.95</v>
      </c>
      <c r="L102">
        <v>0.7</v>
      </c>
      <c r="M102">
        <v>0.1</v>
      </c>
      <c r="N102">
        <v>0.1</v>
      </c>
      <c r="O102">
        <v>0.9</v>
      </c>
      <c r="P102">
        <v>0.8</v>
      </c>
      <c r="Q102">
        <v>0.1</v>
      </c>
      <c r="R102">
        <v>0.1</v>
      </c>
      <c r="S102">
        <v>0.95</v>
      </c>
      <c r="T102">
        <v>0.7</v>
      </c>
      <c r="U102">
        <v>0.1</v>
      </c>
      <c r="V102">
        <v>0.1</v>
      </c>
      <c r="W102">
        <v>-0.29449999999999998</v>
      </c>
      <c r="X102">
        <v>0.59399999999999997</v>
      </c>
      <c r="Y102">
        <v>0</v>
      </c>
      <c r="Z102">
        <v>0</v>
      </c>
      <c r="AA102">
        <v>0</v>
      </c>
      <c r="AB102">
        <v>0</v>
      </c>
      <c r="AC102">
        <v>7.0710678118654696E-2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7.0710678118654696E-2</v>
      </c>
      <c r="AL102">
        <v>0</v>
      </c>
      <c r="AM102">
        <v>0</v>
      </c>
      <c r="AN102">
        <v>0</v>
      </c>
      <c r="AO102">
        <v>3.1819805153394602E-2</v>
      </c>
      <c r="AP102">
        <v>9.8994949366116702E-3</v>
      </c>
      <c r="AQ102">
        <v>0.9</v>
      </c>
      <c r="AR102">
        <v>0.1</v>
      </c>
      <c r="AS102">
        <v>0.8</v>
      </c>
      <c r="AT102">
        <v>0.15</v>
      </c>
      <c r="AU102">
        <v>0.45</v>
      </c>
      <c r="AV102">
        <v>0.55000000000000004</v>
      </c>
      <c r="AW102">
        <v>0.42499999999999999</v>
      </c>
      <c r="AX102">
        <v>0.70650000000000002</v>
      </c>
      <c r="AY102">
        <v>0</v>
      </c>
      <c r="AZ102">
        <v>0</v>
      </c>
      <c r="BA102">
        <v>0</v>
      </c>
      <c r="BB102">
        <v>7.0710678118654696E-2</v>
      </c>
      <c r="BC102">
        <v>0.49497474683058301</v>
      </c>
      <c r="BD102">
        <v>0.49497474683058301</v>
      </c>
      <c r="BE102">
        <v>0.38890872965260098</v>
      </c>
      <c r="BF102">
        <v>0.24678026663410499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3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2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1.5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1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</row>
    <row r="103" spans="1:656" x14ac:dyDescent="0.2">
      <c r="A103" t="s">
        <v>849</v>
      </c>
      <c r="D103" t="s">
        <v>698</v>
      </c>
      <c r="E103" t="s">
        <v>660</v>
      </c>
      <c r="F103">
        <v>1</v>
      </c>
      <c r="G103">
        <v>0.9</v>
      </c>
      <c r="H103">
        <v>0.8</v>
      </c>
      <c r="I103">
        <v>0.4</v>
      </c>
      <c r="J103">
        <v>0.4</v>
      </c>
      <c r="K103">
        <v>0.9</v>
      </c>
      <c r="L103">
        <v>0.7</v>
      </c>
      <c r="M103">
        <v>0.8</v>
      </c>
      <c r="N103">
        <v>0.7</v>
      </c>
      <c r="O103">
        <v>0.8</v>
      </c>
      <c r="P103">
        <v>0.7</v>
      </c>
      <c r="Q103">
        <v>0.9</v>
      </c>
      <c r="R103">
        <v>0.8</v>
      </c>
      <c r="S103">
        <v>0.3</v>
      </c>
      <c r="T103">
        <v>0.4</v>
      </c>
      <c r="U103">
        <v>0.9</v>
      </c>
      <c r="V103">
        <v>0.8</v>
      </c>
      <c r="W103">
        <v>0.40500000000000003</v>
      </c>
      <c r="X103">
        <v>0.81899999999999995</v>
      </c>
      <c r="AQ103">
        <v>0.9</v>
      </c>
      <c r="AR103">
        <v>0.1</v>
      </c>
      <c r="AS103">
        <v>0.7</v>
      </c>
      <c r="AT103">
        <v>0.5</v>
      </c>
      <c r="AU103">
        <v>0.2</v>
      </c>
      <c r="AV103">
        <v>1</v>
      </c>
      <c r="AW103">
        <v>3.7999999999999999E-2</v>
      </c>
      <c r="AX103">
        <v>0.46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2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4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2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2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4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2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6C1E-DB91-6040-A7B1-332A2E7B0784}">
  <dimension ref="A1:M103"/>
  <sheetViews>
    <sheetView workbookViewId="0"/>
  </sheetViews>
  <sheetFormatPr baseColWidth="10" defaultRowHeight="16" x14ac:dyDescent="0.2"/>
  <cols>
    <col min="1" max="1" width="32.33203125" bestFit="1" customWidth="1"/>
    <col min="2" max="2" width="46.5" bestFit="1" customWidth="1"/>
    <col min="3" max="3" width="20.6640625" bestFit="1" customWidth="1"/>
    <col min="4" max="4" width="12" bestFit="1" customWidth="1"/>
    <col min="5" max="5" width="9.5" bestFit="1" customWidth="1"/>
    <col min="6" max="6" width="13.83203125" bestFit="1" customWidth="1"/>
    <col min="7" max="7" width="17.5" bestFit="1" customWidth="1"/>
    <col min="8" max="8" width="10.5" bestFit="1" customWidth="1"/>
    <col min="9" max="9" width="61.1640625" bestFit="1" customWidth="1"/>
    <col min="10" max="10" width="14.1640625" bestFit="1" customWidth="1"/>
    <col min="11" max="11" width="12.1640625" bestFit="1" customWidth="1"/>
    <col min="12" max="12" width="15.83203125" bestFit="1" customWidth="1"/>
    <col min="13" max="13" width="13.83203125" bestFit="1" customWidth="1"/>
  </cols>
  <sheetData>
    <row r="1" spans="1:13" x14ac:dyDescent="0.2">
      <c r="A1" t="s">
        <v>0</v>
      </c>
      <c r="B1" t="s">
        <v>4</v>
      </c>
      <c r="C1" t="s">
        <v>2</v>
      </c>
      <c r="D1" t="s">
        <v>5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  <c r="J1" t="s">
        <v>855</v>
      </c>
      <c r="K1" t="s">
        <v>856</v>
      </c>
      <c r="L1" t="s">
        <v>857</v>
      </c>
      <c r="M1" t="s">
        <v>858</v>
      </c>
    </row>
    <row r="2" spans="1:13" x14ac:dyDescent="0.2">
      <c r="A2" t="s">
        <v>656</v>
      </c>
      <c r="B2" t="s">
        <v>660</v>
      </c>
      <c r="C2" t="s">
        <v>658</v>
      </c>
      <c r="D2">
        <v>11</v>
      </c>
      <c r="E2">
        <v>1</v>
      </c>
      <c r="F2">
        <v>3</v>
      </c>
      <c r="G2">
        <v>100</v>
      </c>
      <c r="H2">
        <v>3</v>
      </c>
      <c r="I2" t="s">
        <v>859</v>
      </c>
      <c r="J2">
        <v>0.786909090909091</v>
      </c>
      <c r="K2">
        <v>0.13535985708137699</v>
      </c>
      <c r="L2">
        <v>0.42645454545454498</v>
      </c>
      <c r="M2">
        <v>0.15943297252222499</v>
      </c>
    </row>
    <row r="3" spans="1:13" x14ac:dyDescent="0.2">
      <c r="A3" t="s">
        <v>661</v>
      </c>
      <c r="B3" t="s">
        <v>660</v>
      </c>
      <c r="D3">
        <v>17</v>
      </c>
      <c r="E3">
        <v>1</v>
      </c>
      <c r="F3">
        <v>3</v>
      </c>
      <c r="G3">
        <v>100</v>
      </c>
      <c r="H3">
        <v>3</v>
      </c>
      <c r="I3" t="s">
        <v>860</v>
      </c>
      <c r="J3">
        <v>0.72476470588235298</v>
      </c>
      <c r="K3">
        <v>0.193886413078561</v>
      </c>
      <c r="L3">
        <v>0.54382352941176404</v>
      </c>
      <c r="M3">
        <v>5.7983009681843001E-2</v>
      </c>
    </row>
    <row r="4" spans="1:13" x14ac:dyDescent="0.2">
      <c r="A4" t="s">
        <v>662</v>
      </c>
      <c r="B4" t="s">
        <v>660</v>
      </c>
      <c r="D4">
        <v>5</v>
      </c>
      <c r="E4">
        <v>1</v>
      </c>
      <c r="F4">
        <v>3</v>
      </c>
      <c r="G4">
        <v>100</v>
      </c>
      <c r="H4">
        <v>3</v>
      </c>
      <c r="I4" t="s">
        <v>861</v>
      </c>
      <c r="J4">
        <v>0.66179999999999894</v>
      </c>
      <c r="K4">
        <v>7.43585906267729E-2</v>
      </c>
      <c r="L4">
        <v>0.6</v>
      </c>
      <c r="M4">
        <v>0.15517409577632399</v>
      </c>
    </row>
    <row r="5" spans="1:13" x14ac:dyDescent="0.2">
      <c r="A5" t="s">
        <v>663</v>
      </c>
      <c r="B5" t="s">
        <v>660</v>
      </c>
      <c r="D5">
        <v>1</v>
      </c>
      <c r="E5">
        <v>1</v>
      </c>
      <c r="F5">
        <v>4</v>
      </c>
      <c r="G5">
        <v>100</v>
      </c>
      <c r="H5">
        <v>4</v>
      </c>
      <c r="I5" t="s">
        <v>862</v>
      </c>
      <c r="J5">
        <v>0.29299999999999998</v>
      </c>
      <c r="K5">
        <v>0</v>
      </c>
      <c r="L5">
        <v>0.04</v>
      </c>
      <c r="M5">
        <v>0</v>
      </c>
    </row>
    <row r="6" spans="1:13" x14ac:dyDescent="0.2">
      <c r="A6" t="s">
        <v>665</v>
      </c>
      <c r="B6" t="s">
        <v>660</v>
      </c>
      <c r="C6" t="s">
        <v>667</v>
      </c>
      <c r="D6">
        <v>4</v>
      </c>
      <c r="E6">
        <v>1</v>
      </c>
      <c r="F6">
        <v>4</v>
      </c>
      <c r="G6">
        <v>100</v>
      </c>
      <c r="H6">
        <v>4</v>
      </c>
      <c r="I6" t="s">
        <v>863</v>
      </c>
      <c r="J6">
        <v>0.40325</v>
      </c>
      <c r="K6">
        <v>3.6499999999999998E-2</v>
      </c>
      <c r="L6">
        <v>7.4999999999999997E-2</v>
      </c>
      <c r="M6">
        <v>8.0000000000000002E-3</v>
      </c>
    </row>
    <row r="7" spans="1:13" x14ac:dyDescent="0.2">
      <c r="A7" t="s">
        <v>669</v>
      </c>
      <c r="B7" t="s">
        <v>660</v>
      </c>
      <c r="C7" t="s">
        <v>671</v>
      </c>
      <c r="D7">
        <v>3</v>
      </c>
      <c r="E7">
        <v>1</v>
      </c>
      <c r="F7">
        <v>3</v>
      </c>
      <c r="G7">
        <v>100</v>
      </c>
      <c r="H7">
        <v>3</v>
      </c>
      <c r="I7" t="s">
        <v>864</v>
      </c>
      <c r="J7">
        <v>0.78799999999999903</v>
      </c>
      <c r="K7">
        <v>0.147224318643354</v>
      </c>
      <c r="L7">
        <v>0.442</v>
      </c>
      <c r="M7">
        <v>8.4255563614517498E-2</v>
      </c>
    </row>
    <row r="8" spans="1:13" x14ac:dyDescent="0.2">
      <c r="A8" t="s">
        <v>672</v>
      </c>
      <c r="B8" t="s">
        <v>660</v>
      </c>
      <c r="D8">
        <v>4</v>
      </c>
      <c r="E8">
        <v>2</v>
      </c>
      <c r="F8">
        <v>3</v>
      </c>
      <c r="G8">
        <v>75</v>
      </c>
      <c r="H8" t="s">
        <v>865</v>
      </c>
      <c r="I8" t="s">
        <v>866</v>
      </c>
      <c r="J8">
        <v>0.44024999999999997</v>
      </c>
      <c r="K8">
        <v>0.29349999999999998</v>
      </c>
      <c r="L8">
        <v>0.73399999999999899</v>
      </c>
      <c r="M8">
        <v>0.19799999999999901</v>
      </c>
    </row>
    <row r="9" spans="1:13" x14ac:dyDescent="0.2">
      <c r="A9" t="s">
        <v>675</v>
      </c>
      <c r="B9" t="s">
        <v>660</v>
      </c>
      <c r="D9">
        <v>1</v>
      </c>
      <c r="E9">
        <v>1</v>
      </c>
      <c r="F9">
        <v>3</v>
      </c>
      <c r="G9">
        <v>100</v>
      </c>
      <c r="H9">
        <v>3</v>
      </c>
      <c r="I9" t="s">
        <v>867</v>
      </c>
      <c r="J9">
        <v>0.60099999999999998</v>
      </c>
      <c r="K9">
        <v>0</v>
      </c>
      <c r="L9">
        <v>0.46</v>
      </c>
      <c r="M9">
        <v>0</v>
      </c>
    </row>
    <row r="10" spans="1:13" x14ac:dyDescent="0.2">
      <c r="A10" t="s">
        <v>676</v>
      </c>
      <c r="B10" t="s">
        <v>660</v>
      </c>
      <c r="C10" t="s">
        <v>678</v>
      </c>
      <c r="D10">
        <v>5</v>
      </c>
      <c r="E10">
        <v>1</v>
      </c>
      <c r="F10">
        <v>3</v>
      </c>
      <c r="G10">
        <v>100</v>
      </c>
      <c r="H10">
        <v>3</v>
      </c>
      <c r="I10" t="s">
        <v>861</v>
      </c>
      <c r="J10">
        <v>0.78999999999999904</v>
      </c>
      <c r="K10">
        <v>0.250308809273665</v>
      </c>
      <c r="L10">
        <v>0.57599999999999996</v>
      </c>
      <c r="M10">
        <v>8.9115094119907604E-2</v>
      </c>
    </row>
    <row r="11" spans="1:13" x14ac:dyDescent="0.2">
      <c r="A11" t="s">
        <v>679</v>
      </c>
      <c r="B11" t="s">
        <v>660</v>
      </c>
      <c r="C11" t="s">
        <v>667</v>
      </c>
      <c r="D11">
        <v>2</v>
      </c>
      <c r="E11">
        <v>1</v>
      </c>
      <c r="F11">
        <v>3</v>
      </c>
      <c r="G11">
        <v>100</v>
      </c>
      <c r="H11">
        <v>3</v>
      </c>
      <c r="I11" t="s">
        <v>868</v>
      </c>
      <c r="J11">
        <v>0.79449999999999998</v>
      </c>
      <c r="K11">
        <v>0.27365032431919301</v>
      </c>
      <c r="L11">
        <v>0.504</v>
      </c>
      <c r="M11">
        <v>3.9597979746446597E-2</v>
      </c>
    </row>
    <row r="12" spans="1:13" x14ac:dyDescent="0.2">
      <c r="A12" t="s">
        <v>681</v>
      </c>
      <c r="B12" t="s">
        <v>660</v>
      </c>
      <c r="C12" t="s">
        <v>683</v>
      </c>
      <c r="D12">
        <v>2</v>
      </c>
      <c r="E12">
        <v>2</v>
      </c>
      <c r="F12">
        <v>3</v>
      </c>
      <c r="G12">
        <v>50</v>
      </c>
      <c r="H12" t="s">
        <v>869</v>
      </c>
      <c r="I12" t="s">
        <v>870</v>
      </c>
      <c r="J12">
        <v>0.72299999999999998</v>
      </c>
      <c r="K12">
        <v>0.37476659402887003</v>
      </c>
      <c r="L12">
        <v>0.23799999999999999</v>
      </c>
      <c r="M12">
        <v>0.33658282784479598</v>
      </c>
    </row>
    <row r="13" spans="1:13" x14ac:dyDescent="0.2">
      <c r="A13" t="s">
        <v>685</v>
      </c>
      <c r="B13" t="s">
        <v>660</v>
      </c>
      <c r="D13">
        <v>1</v>
      </c>
      <c r="E13">
        <v>1</v>
      </c>
      <c r="F13">
        <v>4</v>
      </c>
      <c r="G13">
        <v>100</v>
      </c>
      <c r="H13">
        <v>4</v>
      </c>
      <c r="I13" t="s">
        <v>862</v>
      </c>
      <c r="J13">
        <v>0.47299999999999998</v>
      </c>
      <c r="K13">
        <v>0</v>
      </c>
      <c r="L13">
        <v>0.35699999999999998</v>
      </c>
      <c r="M13">
        <v>0</v>
      </c>
    </row>
    <row r="14" spans="1:13" x14ac:dyDescent="0.2">
      <c r="A14" t="s">
        <v>686</v>
      </c>
      <c r="B14" t="s">
        <v>660</v>
      </c>
      <c r="D14">
        <v>1</v>
      </c>
      <c r="E14">
        <v>1</v>
      </c>
      <c r="F14">
        <v>4</v>
      </c>
      <c r="G14">
        <v>100</v>
      </c>
      <c r="H14">
        <v>4</v>
      </c>
      <c r="I14" t="s">
        <v>862</v>
      </c>
      <c r="J14">
        <v>0.53200000000000003</v>
      </c>
      <c r="K14">
        <v>0</v>
      </c>
      <c r="L14">
        <v>0.11899999999999999</v>
      </c>
      <c r="M14">
        <v>0</v>
      </c>
    </row>
    <row r="15" spans="1:13" x14ac:dyDescent="0.2">
      <c r="A15" t="s">
        <v>687</v>
      </c>
      <c r="B15" t="s">
        <v>660</v>
      </c>
      <c r="D15">
        <v>5</v>
      </c>
      <c r="E15">
        <v>1</v>
      </c>
      <c r="F15">
        <v>3</v>
      </c>
      <c r="G15">
        <v>100</v>
      </c>
      <c r="H15">
        <v>3</v>
      </c>
      <c r="I15" t="s">
        <v>861</v>
      </c>
      <c r="J15">
        <v>0.73359999999999903</v>
      </c>
      <c r="K15">
        <v>0.13422294885748801</v>
      </c>
      <c r="L15">
        <v>0.50800000000000001</v>
      </c>
      <c r="M15">
        <v>3.2984845004941199E-2</v>
      </c>
    </row>
    <row r="16" spans="1:13" x14ac:dyDescent="0.2">
      <c r="A16" t="s">
        <v>688</v>
      </c>
      <c r="B16" t="s">
        <v>660</v>
      </c>
      <c r="C16" t="s">
        <v>678</v>
      </c>
      <c r="D16">
        <v>9</v>
      </c>
      <c r="E16">
        <v>1</v>
      </c>
      <c r="F16">
        <v>3</v>
      </c>
      <c r="G16">
        <v>100</v>
      </c>
      <c r="H16">
        <v>3</v>
      </c>
      <c r="I16" t="s">
        <v>871</v>
      </c>
      <c r="J16">
        <v>0.77933333333333299</v>
      </c>
      <c r="K16">
        <v>0.114603664862865</v>
      </c>
      <c r="L16">
        <v>0.475444444444444</v>
      </c>
      <c r="M16">
        <v>9.1293634924773201E-2</v>
      </c>
    </row>
    <row r="17" spans="1:13" x14ac:dyDescent="0.2">
      <c r="A17" t="s">
        <v>690</v>
      </c>
      <c r="B17" t="s">
        <v>693</v>
      </c>
      <c r="C17" t="s">
        <v>658</v>
      </c>
      <c r="D17">
        <v>40</v>
      </c>
      <c r="E17">
        <v>1</v>
      </c>
      <c r="F17">
        <v>8</v>
      </c>
      <c r="G17">
        <v>100</v>
      </c>
      <c r="H17">
        <v>8</v>
      </c>
      <c r="I17" t="s">
        <v>872</v>
      </c>
      <c r="J17">
        <v>0.730375</v>
      </c>
      <c r="K17">
        <v>0.17013474109718099</v>
      </c>
      <c r="L17">
        <v>0.56299999999999994</v>
      </c>
      <c r="M17">
        <v>9.0619520170311094E-2</v>
      </c>
    </row>
    <row r="18" spans="1:13" x14ac:dyDescent="0.2">
      <c r="A18" t="s">
        <v>694</v>
      </c>
      <c r="B18" t="s">
        <v>660</v>
      </c>
      <c r="C18" t="s">
        <v>667</v>
      </c>
      <c r="D18">
        <v>2</v>
      </c>
      <c r="E18">
        <v>1</v>
      </c>
      <c r="F18">
        <v>3</v>
      </c>
      <c r="G18">
        <v>100</v>
      </c>
      <c r="H18">
        <v>3</v>
      </c>
      <c r="I18" t="s">
        <v>868</v>
      </c>
      <c r="J18">
        <v>0.59949999999999903</v>
      </c>
      <c r="K18">
        <v>2.1213203435596398E-3</v>
      </c>
      <c r="L18">
        <v>0.5675</v>
      </c>
      <c r="M18">
        <v>5.02045814642448E-2</v>
      </c>
    </row>
    <row r="19" spans="1:13" x14ac:dyDescent="0.2">
      <c r="A19" t="s">
        <v>696</v>
      </c>
      <c r="B19" t="s">
        <v>660</v>
      </c>
      <c r="C19" t="s">
        <v>658</v>
      </c>
      <c r="D19">
        <v>5</v>
      </c>
      <c r="E19">
        <v>1</v>
      </c>
      <c r="F19">
        <v>3</v>
      </c>
      <c r="G19">
        <v>100</v>
      </c>
      <c r="H19">
        <v>3</v>
      </c>
      <c r="I19" t="s">
        <v>861</v>
      </c>
      <c r="J19">
        <v>0.82099999999999995</v>
      </c>
      <c r="K19">
        <v>0.18207416071480301</v>
      </c>
      <c r="L19">
        <v>0.58260000000000001</v>
      </c>
      <c r="M19">
        <v>8.4120746549231198E-2</v>
      </c>
    </row>
    <row r="20" spans="1:13" x14ac:dyDescent="0.2">
      <c r="A20" t="s">
        <v>699</v>
      </c>
      <c r="B20" t="s">
        <v>660</v>
      </c>
      <c r="D20">
        <v>2</v>
      </c>
      <c r="E20">
        <v>1</v>
      </c>
      <c r="F20">
        <v>3</v>
      </c>
      <c r="G20">
        <v>100</v>
      </c>
      <c r="H20">
        <v>3</v>
      </c>
      <c r="I20" t="s">
        <v>868</v>
      </c>
      <c r="J20">
        <v>0.84950000000000003</v>
      </c>
      <c r="K20">
        <v>7.5660425586960497E-2</v>
      </c>
      <c r="L20">
        <v>0.54349999999999998</v>
      </c>
      <c r="M20">
        <v>0.12940054095713799</v>
      </c>
    </row>
    <row r="21" spans="1:13" x14ac:dyDescent="0.2">
      <c r="A21" t="s">
        <v>700</v>
      </c>
      <c r="B21" t="s">
        <v>660</v>
      </c>
      <c r="D21">
        <v>2</v>
      </c>
      <c r="E21">
        <v>1</v>
      </c>
      <c r="F21">
        <v>3</v>
      </c>
      <c r="G21">
        <v>100</v>
      </c>
      <c r="H21">
        <v>3</v>
      </c>
      <c r="I21" t="s">
        <v>868</v>
      </c>
      <c r="J21">
        <v>0.83599999999999997</v>
      </c>
      <c r="K21">
        <v>6.0811183182042997E-2</v>
      </c>
      <c r="L21">
        <v>0.40449999999999903</v>
      </c>
      <c r="M21">
        <v>6.7175144212721999E-2</v>
      </c>
    </row>
    <row r="22" spans="1:13" x14ac:dyDescent="0.2">
      <c r="A22" t="s">
        <v>701</v>
      </c>
      <c r="B22" t="s">
        <v>660</v>
      </c>
      <c r="D22">
        <v>3</v>
      </c>
      <c r="E22">
        <v>1</v>
      </c>
      <c r="F22">
        <v>3</v>
      </c>
      <c r="G22">
        <v>100</v>
      </c>
      <c r="H22">
        <v>3</v>
      </c>
      <c r="I22" t="s">
        <v>864</v>
      </c>
      <c r="J22">
        <v>0.85733333333333295</v>
      </c>
      <c r="K22">
        <v>0.17815816942630799</v>
      </c>
      <c r="L22">
        <v>0.47066666666666601</v>
      </c>
      <c r="M22">
        <v>0.123313962442755</v>
      </c>
    </row>
    <row r="23" spans="1:13" x14ac:dyDescent="0.2">
      <c r="A23" t="s">
        <v>703</v>
      </c>
      <c r="B23" t="s">
        <v>660</v>
      </c>
      <c r="C23" t="s">
        <v>658</v>
      </c>
      <c r="D23">
        <v>2</v>
      </c>
      <c r="E23">
        <v>1</v>
      </c>
      <c r="F23">
        <v>3</v>
      </c>
      <c r="G23">
        <v>100</v>
      </c>
      <c r="H23">
        <v>3</v>
      </c>
      <c r="I23" t="s">
        <v>868</v>
      </c>
      <c r="J23">
        <v>0.89400000000000002</v>
      </c>
      <c r="K23">
        <v>0.13293607486306999</v>
      </c>
      <c r="L23">
        <v>0.42449999999999999</v>
      </c>
      <c r="M23">
        <v>7.2831998462214304E-2</v>
      </c>
    </row>
    <row r="24" spans="1:13" x14ac:dyDescent="0.2">
      <c r="A24" t="s">
        <v>705</v>
      </c>
      <c r="B24" t="s">
        <v>660</v>
      </c>
      <c r="D24">
        <v>9</v>
      </c>
      <c r="E24">
        <v>1</v>
      </c>
      <c r="F24">
        <v>3</v>
      </c>
      <c r="G24">
        <v>100</v>
      </c>
      <c r="H24">
        <v>3</v>
      </c>
      <c r="I24" t="s">
        <v>871</v>
      </c>
      <c r="J24">
        <v>0.70122222222222197</v>
      </c>
      <c r="K24">
        <v>0.14044285116888</v>
      </c>
      <c r="L24">
        <v>0.53355555555555501</v>
      </c>
      <c r="M24">
        <v>5.1492987656357403E-2</v>
      </c>
    </row>
    <row r="25" spans="1:13" x14ac:dyDescent="0.2">
      <c r="A25" t="s">
        <v>706</v>
      </c>
      <c r="B25" t="s">
        <v>660</v>
      </c>
      <c r="D25">
        <v>1</v>
      </c>
      <c r="E25">
        <v>1</v>
      </c>
      <c r="F25">
        <v>3</v>
      </c>
      <c r="G25">
        <v>100</v>
      </c>
      <c r="H25">
        <v>3</v>
      </c>
      <c r="I25" t="s">
        <v>867</v>
      </c>
      <c r="J25">
        <v>0.60099999999999998</v>
      </c>
      <c r="K25">
        <v>0</v>
      </c>
      <c r="L25">
        <v>0.53200000000000003</v>
      </c>
      <c r="M25">
        <v>0</v>
      </c>
    </row>
    <row r="26" spans="1:13" x14ac:dyDescent="0.2">
      <c r="A26" t="s">
        <v>709</v>
      </c>
      <c r="B26" t="s">
        <v>660</v>
      </c>
      <c r="D26">
        <v>2</v>
      </c>
      <c r="E26">
        <v>2</v>
      </c>
      <c r="F26">
        <v>3</v>
      </c>
      <c r="G26">
        <v>50</v>
      </c>
      <c r="H26" t="s">
        <v>869</v>
      </c>
      <c r="I26" t="s">
        <v>870</v>
      </c>
      <c r="J26">
        <v>0.52949999999999997</v>
      </c>
      <c r="K26">
        <v>0.10111626970967599</v>
      </c>
      <c r="L26">
        <v>0.30149999999999999</v>
      </c>
      <c r="M26">
        <v>0.29203510063004401</v>
      </c>
    </row>
    <row r="27" spans="1:13" x14ac:dyDescent="0.2">
      <c r="A27" t="s">
        <v>710</v>
      </c>
      <c r="B27" t="s">
        <v>660</v>
      </c>
      <c r="D27">
        <v>1</v>
      </c>
      <c r="E27">
        <v>1</v>
      </c>
      <c r="F27">
        <v>3</v>
      </c>
      <c r="G27">
        <v>100</v>
      </c>
      <c r="H27">
        <v>3</v>
      </c>
      <c r="I27" t="s">
        <v>867</v>
      </c>
      <c r="J27">
        <v>0.98799999999999999</v>
      </c>
      <c r="K27">
        <v>0</v>
      </c>
      <c r="L27">
        <v>0.47599999999999998</v>
      </c>
      <c r="M27">
        <v>0</v>
      </c>
    </row>
    <row r="28" spans="1:13" x14ac:dyDescent="0.2">
      <c r="A28" t="s">
        <v>712</v>
      </c>
      <c r="B28" t="s">
        <v>660</v>
      </c>
      <c r="C28" t="s">
        <v>667</v>
      </c>
      <c r="D28">
        <v>2</v>
      </c>
      <c r="E28">
        <v>1</v>
      </c>
      <c r="F28">
        <v>3</v>
      </c>
      <c r="G28">
        <v>100</v>
      </c>
      <c r="H28">
        <v>3</v>
      </c>
      <c r="I28" t="s">
        <v>868</v>
      </c>
      <c r="J28">
        <v>0.629</v>
      </c>
      <c r="K28">
        <v>1.6970562748477101E-2</v>
      </c>
      <c r="L28">
        <v>0.58699999999999997</v>
      </c>
      <c r="M28">
        <v>1.1313708498984699E-2</v>
      </c>
    </row>
    <row r="29" spans="1:13" x14ac:dyDescent="0.2">
      <c r="A29" t="s">
        <v>715</v>
      </c>
      <c r="B29" t="s">
        <v>660</v>
      </c>
      <c r="D29">
        <v>2</v>
      </c>
      <c r="E29">
        <v>1</v>
      </c>
      <c r="F29">
        <v>3</v>
      </c>
      <c r="G29">
        <v>100</v>
      </c>
      <c r="H29">
        <v>3</v>
      </c>
      <c r="I29" t="s">
        <v>868</v>
      </c>
      <c r="J29">
        <v>0.71150000000000002</v>
      </c>
      <c r="K29">
        <v>8.4145706961199093E-2</v>
      </c>
      <c r="L29">
        <v>0.5595</v>
      </c>
      <c r="M29">
        <v>2.7577164466275301E-2</v>
      </c>
    </row>
    <row r="30" spans="1:13" x14ac:dyDescent="0.2">
      <c r="A30" t="s">
        <v>716</v>
      </c>
      <c r="B30" t="s">
        <v>660</v>
      </c>
      <c r="C30" t="s">
        <v>667</v>
      </c>
      <c r="D30">
        <v>9</v>
      </c>
      <c r="E30">
        <v>2</v>
      </c>
      <c r="F30">
        <v>3</v>
      </c>
      <c r="G30">
        <v>88.8888888888888</v>
      </c>
      <c r="H30" t="s">
        <v>869</v>
      </c>
      <c r="I30" t="s">
        <v>873</v>
      </c>
      <c r="J30">
        <v>0.61633333333333296</v>
      </c>
      <c r="K30">
        <v>0.14284869617885901</v>
      </c>
      <c r="L30">
        <v>0.48599999999999999</v>
      </c>
      <c r="M30">
        <v>0.16104890561565399</v>
      </c>
    </row>
    <row r="31" spans="1:13" x14ac:dyDescent="0.2">
      <c r="A31" t="s">
        <v>718</v>
      </c>
      <c r="B31" t="s">
        <v>660</v>
      </c>
      <c r="C31" t="s">
        <v>678</v>
      </c>
      <c r="D31">
        <v>3</v>
      </c>
      <c r="E31">
        <v>1</v>
      </c>
      <c r="F31">
        <v>3</v>
      </c>
      <c r="G31">
        <v>100</v>
      </c>
      <c r="H31">
        <v>3</v>
      </c>
      <c r="I31" t="s">
        <v>864</v>
      </c>
      <c r="J31">
        <v>0.791333333333333</v>
      </c>
      <c r="K31">
        <v>0.19357771910355101</v>
      </c>
      <c r="L31">
        <v>0.49466666666666598</v>
      </c>
      <c r="M31">
        <v>3.2331615074619E-2</v>
      </c>
    </row>
    <row r="32" spans="1:13" x14ac:dyDescent="0.2">
      <c r="A32" t="s">
        <v>720</v>
      </c>
      <c r="B32" t="s">
        <v>660</v>
      </c>
      <c r="C32" t="s">
        <v>678</v>
      </c>
      <c r="D32">
        <v>1</v>
      </c>
      <c r="E32">
        <v>1</v>
      </c>
      <c r="F32">
        <v>3</v>
      </c>
      <c r="G32">
        <v>100</v>
      </c>
      <c r="H32">
        <v>3</v>
      </c>
      <c r="I32" t="s">
        <v>867</v>
      </c>
      <c r="J32">
        <v>0.60099999999999998</v>
      </c>
      <c r="K32">
        <v>0</v>
      </c>
      <c r="L32">
        <v>0.53200000000000003</v>
      </c>
      <c r="M32">
        <v>0</v>
      </c>
    </row>
    <row r="33" spans="1:13" x14ac:dyDescent="0.2">
      <c r="A33" t="s">
        <v>721</v>
      </c>
      <c r="B33" t="s">
        <v>660</v>
      </c>
      <c r="D33">
        <v>3</v>
      </c>
      <c r="E33">
        <v>1</v>
      </c>
      <c r="F33">
        <v>3</v>
      </c>
      <c r="G33">
        <v>100</v>
      </c>
      <c r="H33">
        <v>3</v>
      </c>
      <c r="I33" t="s">
        <v>864</v>
      </c>
      <c r="J33">
        <v>0.77833333333333299</v>
      </c>
      <c r="K33">
        <v>0.17991757372011499</v>
      </c>
      <c r="L33">
        <v>0.830666666666666</v>
      </c>
      <c r="M33">
        <v>0.22224835957399799</v>
      </c>
    </row>
    <row r="34" spans="1:13" x14ac:dyDescent="0.2">
      <c r="A34" t="s">
        <v>723</v>
      </c>
      <c r="B34" t="s">
        <v>660</v>
      </c>
      <c r="C34" t="s">
        <v>725</v>
      </c>
      <c r="D34">
        <v>2</v>
      </c>
      <c r="E34">
        <v>1</v>
      </c>
      <c r="F34">
        <v>3</v>
      </c>
      <c r="G34">
        <v>100</v>
      </c>
      <c r="H34">
        <v>3</v>
      </c>
      <c r="I34" t="s">
        <v>868</v>
      </c>
      <c r="J34">
        <v>0.754</v>
      </c>
      <c r="K34">
        <v>0.216374675043083</v>
      </c>
      <c r="L34">
        <v>0.5595</v>
      </c>
      <c r="M34">
        <v>5.02045814642448E-2</v>
      </c>
    </row>
    <row r="35" spans="1:13" x14ac:dyDescent="0.2">
      <c r="A35" t="s">
        <v>726</v>
      </c>
      <c r="B35" t="s">
        <v>660</v>
      </c>
      <c r="D35">
        <v>5</v>
      </c>
      <c r="E35">
        <v>1</v>
      </c>
      <c r="F35">
        <v>3</v>
      </c>
      <c r="G35">
        <v>100</v>
      </c>
      <c r="H35">
        <v>3</v>
      </c>
      <c r="I35" t="s">
        <v>861</v>
      </c>
      <c r="J35">
        <v>0.60739999999999905</v>
      </c>
      <c r="K35">
        <v>9.1251301360583306E-2</v>
      </c>
      <c r="L35">
        <v>0.74119999999999997</v>
      </c>
      <c r="M35">
        <v>0.153260236199739</v>
      </c>
    </row>
    <row r="36" spans="1:13" x14ac:dyDescent="0.2">
      <c r="A36" t="s">
        <v>727</v>
      </c>
      <c r="B36" t="s">
        <v>660</v>
      </c>
      <c r="D36">
        <v>3</v>
      </c>
      <c r="E36">
        <v>1</v>
      </c>
      <c r="F36">
        <v>3</v>
      </c>
      <c r="G36">
        <v>100</v>
      </c>
      <c r="H36">
        <v>3</v>
      </c>
      <c r="I36" t="s">
        <v>864</v>
      </c>
      <c r="J36">
        <v>0.58699999999999997</v>
      </c>
      <c r="K36">
        <v>0</v>
      </c>
      <c r="L36">
        <v>0.82533333333333303</v>
      </c>
      <c r="M36">
        <v>1.3279056191361299E-2</v>
      </c>
    </row>
    <row r="37" spans="1:13" x14ac:dyDescent="0.2">
      <c r="A37" t="s">
        <v>728</v>
      </c>
      <c r="B37" t="s">
        <v>660</v>
      </c>
      <c r="D37">
        <v>2</v>
      </c>
      <c r="E37">
        <v>1</v>
      </c>
      <c r="F37">
        <v>3</v>
      </c>
      <c r="G37">
        <v>100</v>
      </c>
      <c r="H37">
        <v>3</v>
      </c>
      <c r="I37" t="s">
        <v>868</v>
      </c>
      <c r="J37">
        <v>0.65700000000000003</v>
      </c>
      <c r="K37">
        <v>2.26274169979695E-2</v>
      </c>
      <c r="L37">
        <v>0.34949999999999998</v>
      </c>
      <c r="M37">
        <v>0.11242997820866101</v>
      </c>
    </row>
    <row r="38" spans="1:13" x14ac:dyDescent="0.2">
      <c r="A38" t="s">
        <v>729</v>
      </c>
      <c r="B38" t="s">
        <v>660</v>
      </c>
      <c r="C38" t="s">
        <v>725</v>
      </c>
      <c r="D38">
        <v>1</v>
      </c>
      <c r="E38">
        <v>1</v>
      </c>
      <c r="F38">
        <v>3</v>
      </c>
      <c r="G38">
        <v>100</v>
      </c>
      <c r="H38">
        <v>3</v>
      </c>
      <c r="I38" t="s">
        <v>867</v>
      </c>
      <c r="J38">
        <v>0.64100000000000001</v>
      </c>
      <c r="K38">
        <v>0</v>
      </c>
      <c r="L38">
        <v>0.55600000000000005</v>
      </c>
      <c r="M38">
        <v>0</v>
      </c>
    </row>
    <row r="39" spans="1:13" x14ac:dyDescent="0.2">
      <c r="A39" t="s">
        <v>731</v>
      </c>
      <c r="B39" t="s">
        <v>733</v>
      </c>
      <c r="D39">
        <v>8</v>
      </c>
      <c r="E39">
        <v>1</v>
      </c>
      <c r="F39">
        <v>9</v>
      </c>
      <c r="G39">
        <v>100</v>
      </c>
      <c r="H39">
        <v>9</v>
      </c>
      <c r="I39" t="s">
        <v>874</v>
      </c>
      <c r="J39">
        <v>0.58699999999999997</v>
      </c>
      <c r="K39">
        <v>0</v>
      </c>
      <c r="L39">
        <v>0.875</v>
      </c>
      <c r="M39">
        <v>1.6970562748477101E-2</v>
      </c>
    </row>
    <row r="40" spans="1:13" x14ac:dyDescent="0.2">
      <c r="A40" t="s">
        <v>734</v>
      </c>
      <c r="B40" t="s">
        <v>660</v>
      </c>
      <c r="D40">
        <v>1</v>
      </c>
      <c r="E40">
        <v>1</v>
      </c>
      <c r="F40">
        <v>3</v>
      </c>
      <c r="G40">
        <v>100</v>
      </c>
      <c r="H40">
        <v>3</v>
      </c>
      <c r="I40" t="s">
        <v>867</v>
      </c>
      <c r="J40">
        <v>0.69399999999999995</v>
      </c>
      <c r="K40">
        <v>0</v>
      </c>
      <c r="L40">
        <v>0.48399999999999999</v>
      </c>
      <c r="M40">
        <v>0</v>
      </c>
    </row>
    <row r="41" spans="1:13" x14ac:dyDescent="0.2">
      <c r="A41" t="s">
        <v>735</v>
      </c>
      <c r="B41" t="s">
        <v>733</v>
      </c>
      <c r="D41">
        <v>2</v>
      </c>
      <c r="E41">
        <v>1</v>
      </c>
      <c r="F41">
        <v>9</v>
      </c>
      <c r="G41">
        <v>100</v>
      </c>
      <c r="H41">
        <v>9</v>
      </c>
      <c r="I41" t="s">
        <v>875</v>
      </c>
      <c r="J41">
        <v>0.61399999999999999</v>
      </c>
      <c r="K41">
        <v>3.8183766184073598E-2</v>
      </c>
      <c r="L41">
        <v>0.79749999999999999</v>
      </c>
      <c r="M41">
        <v>0.118086832458153</v>
      </c>
    </row>
    <row r="42" spans="1:13" x14ac:dyDescent="0.2">
      <c r="A42" t="s">
        <v>737</v>
      </c>
      <c r="B42" t="s">
        <v>660</v>
      </c>
      <c r="C42" t="s">
        <v>678</v>
      </c>
      <c r="D42">
        <v>1</v>
      </c>
      <c r="E42">
        <v>1</v>
      </c>
      <c r="F42">
        <v>3</v>
      </c>
      <c r="G42">
        <v>100</v>
      </c>
      <c r="H42">
        <v>3</v>
      </c>
      <c r="I42" t="s">
        <v>867</v>
      </c>
      <c r="J42">
        <v>0.60099999999999998</v>
      </c>
      <c r="K42">
        <v>0</v>
      </c>
      <c r="L42">
        <v>0.53200000000000003</v>
      </c>
      <c r="M42">
        <v>0</v>
      </c>
    </row>
    <row r="43" spans="1:13" x14ac:dyDescent="0.2">
      <c r="A43" t="s">
        <v>739</v>
      </c>
      <c r="B43" t="s">
        <v>660</v>
      </c>
      <c r="C43" t="s">
        <v>671</v>
      </c>
      <c r="D43">
        <v>2</v>
      </c>
      <c r="E43">
        <v>2</v>
      </c>
      <c r="F43">
        <v>4</v>
      </c>
      <c r="G43">
        <v>50</v>
      </c>
      <c r="H43" t="s">
        <v>869</v>
      </c>
      <c r="I43" t="s">
        <v>876</v>
      </c>
      <c r="J43">
        <v>0.47599999999999998</v>
      </c>
      <c r="K43">
        <v>5.9396969619669997E-2</v>
      </c>
      <c r="L43">
        <v>0.38100000000000001</v>
      </c>
      <c r="M43">
        <v>0.34789653634378098</v>
      </c>
    </row>
    <row r="44" spans="1:13" x14ac:dyDescent="0.2">
      <c r="A44" t="s">
        <v>742</v>
      </c>
      <c r="B44" t="s">
        <v>660</v>
      </c>
      <c r="D44">
        <v>4</v>
      </c>
      <c r="E44">
        <v>1</v>
      </c>
      <c r="F44">
        <v>4</v>
      </c>
      <c r="G44">
        <v>100</v>
      </c>
      <c r="H44">
        <v>4</v>
      </c>
      <c r="I44" t="s">
        <v>863</v>
      </c>
      <c r="J44">
        <v>0.45800000000000002</v>
      </c>
      <c r="K44">
        <v>0</v>
      </c>
      <c r="L44">
        <v>9.2999999999999999E-2</v>
      </c>
      <c r="M44">
        <v>1.2E-2</v>
      </c>
    </row>
    <row r="45" spans="1:13" x14ac:dyDescent="0.2">
      <c r="A45" t="s">
        <v>743</v>
      </c>
      <c r="B45" t="s">
        <v>660</v>
      </c>
      <c r="C45" t="s">
        <v>667</v>
      </c>
      <c r="D45">
        <v>5</v>
      </c>
      <c r="E45">
        <v>2</v>
      </c>
      <c r="F45">
        <v>4</v>
      </c>
      <c r="G45">
        <v>60</v>
      </c>
      <c r="H45" t="s">
        <v>869</v>
      </c>
      <c r="I45" t="s">
        <v>877</v>
      </c>
      <c r="J45">
        <v>0.5464</v>
      </c>
      <c r="K45">
        <v>0.105585510369557</v>
      </c>
      <c r="L45">
        <v>0.29220000000000002</v>
      </c>
      <c r="M45">
        <v>0.21951469199121901</v>
      </c>
    </row>
    <row r="46" spans="1:13" x14ac:dyDescent="0.2">
      <c r="A46" t="s">
        <v>745</v>
      </c>
      <c r="B46" t="s">
        <v>747</v>
      </c>
      <c r="D46">
        <v>1</v>
      </c>
      <c r="E46">
        <v>1</v>
      </c>
      <c r="F46">
        <v>6</v>
      </c>
      <c r="G46">
        <v>100</v>
      </c>
      <c r="H46">
        <v>6</v>
      </c>
      <c r="I46" t="s">
        <v>878</v>
      </c>
      <c r="J46">
        <v>0.78500000000000003</v>
      </c>
      <c r="K46">
        <v>0</v>
      </c>
      <c r="L46">
        <v>0.47599999999999998</v>
      </c>
      <c r="M46">
        <v>0</v>
      </c>
    </row>
    <row r="47" spans="1:13" x14ac:dyDescent="0.2">
      <c r="A47" t="s">
        <v>748</v>
      </c>
      <c r="B47" t="s">
        <v>660</v>
      </c>
      <c r="C47" t="s">
        <v>683</v>
      </c>
      <c r="D47">
        <v>2</v>
      </c>
      <c r="E47">
        <v>1</v>
      </c>
      <c r="F47">
        <v>3</v>
      </c>
      <c r="G47">
        <v>100</v>
      </c>
      <c r="H47">
        <v>3</v>
      </c>
      <c r="I47" t="s">
        <v>868</v>
      </c>
      <c r="J47">
        <v>0.60099999999999998</v>
      </c>
      <c r="K47">
        <v>0</v>
      </c>
      <c r="L47">
        <v>0.52800000000000002</v>
      </c>
      <c r="M47">
        <v>2.8284271247461901E-2</v>
      </c>
    </row>
    <row r="48" spans="1:13" x14ac:dyDescent="0.2">
      <c r="A48" t="s">
        <v>750</v>
      </c>
      <c r="B48" t="s">
        <v>660</v>
      </c>
      <c r="D48">
        <v>1</v>
      </c>
      <c r="E48">
        <v>1</v>
      </c>
      <c r="F48">
        <v>3</v>
      </c>
      <c r="G48">
        <v>100</v>
      </c>
      <c r="H48">
        <v>3</v>
      </c>
      <c r="I48" t="s">
        <v>867</v>
      </c>
      <c r="J48">
        <v>0.98799999999999999</v>
      </c>
      <c r="K48">
        <v>0</v>
      </c>
      <c r="L48">
        <v>0.47599999999999998</v>
      </c>
      <c r="M48">
        <v>0</v>
      </c>
    </row>
    <row r="49" spans="1:13" x14ac:dyDescent="0.2">
      <c r="A49" t="s">
        <v>752</v>
      </c>
      <c r="B49" t="s">
        <v>660</v>
      </c>
      <c r="C49" t="s">
        <v>754</v>
      </c>
      <c r="D49">
        <v>1</v>
      </c>
      <c r="E49">
        <v>1</v>
      </c>
      <c r="F49">
        <v>3</v>
      </c>
      <c r="G49">
        <v>100</v>
      </c>
      <c r="H49">
        <v>3</v>
      </c>
      <c r="I49" t="s">
        <v>867</v>
      </c>
      <c r="J49">
        <v>0.60099999999999998</v>
      </c>
      <c r="K49">
        <v>0</v>
      </c>
      <c r="L49">
        <v>0.53200000000000003</v>
      </c>
      <c r="M49">
        <v>0</v>
      </c>
    </row>
    <row r="50" spans="1:13" x14ac:dyDescent="0.2">
      <c r="A50" t="s">
        <v>756</v>
      </c>
      <c r="B50" t="s">
        <v>660</v>
      </c>
      <c r="D50">
        <v>14</v>
      </c>
      <c r="E50">
        <v>2</v>
      </c>
      <c r="F50">
        <v>3</v>
      </c>
      <c r="G50">
        <v>92.857142857142804</v>
      </c>
      <c r="H50" t="s">
        <v>869</v>
      </c>
      <c r="I50" t="s">
        <v>879</v>
      </c>
      <c r="J50">
        <v>0.72542857142857098</v>
      </c>
      <c r="K50">
        <v>0.18760380276845801</v>
      </c>
      <c r="L50">
        <v>0.59199999999999997</v>
      </c>
      <c r="M50">
        <v>0.207687635275078</v>
      </c>
    </row>
    <row r="51" spans="1:13" x14ac:dyDescent="0.2">
      <c r="A51" t="s">
        <v>758</v>
      </c>
      <c r="B51" t="s">
        <v>760</v>
      </c>
      <c r="D51">
        <v>1</v>
      </c>
      <c r="E51">
        <v>1</v>
      </c>
      <c r="F51">
        <v>1</v>
      </c>
      <c r="G51">
        <v>100</v>
      </c>
      <c r="H51">
        <v>1</v>
      </c>
      <c r="I51" t="s">
        <v>880</v>
      </c>
      <c r="J51">
        <v>0.64100000000000001</v>
      </c>
      <c r="K51">
        <v>0</v>
      </c>
      <c r="L51">
        <v>0.57899999999999996</v>
      </c>
      <c r="M51">
        <v>0</v>
      </c>
    </row>
    <row r="52" spans="1:13" x14ac:dyDescent="0.2">
      <c r="A52" t="s">
        <v>761</v>
      </c>
      <c r="B52" t="s">
        <v>733</v>
      </c>
      <c r="C52" t="s">
        <v>678</v>
      </c>
      <c r="D52">
        <v>2</v>
      </c>
      <c r="E52">
        <v>1</v>
      </c>
      <c r="F52">
        <v>9</v>
      </c>
      <c r="G52">
        <v>100</v>
      </c>
      <c r="H52">
        <v>9</v>
      </c>
      <c r="I52" t="s">
        <v>875</v>
      </c>
      <c r="J52">
        <v>0.61599999999999999</v>
      </c>
      <c r="K52">
        <v>2.1213203435596399E-2</v>
      </c>
      <c r="L52">
        <v>0.58750000000000002</v>
      </c>
      <c r="M52">
        <v>7.8488852711706705E-2</v>
      </c>
    </row>
    <row r="53" spans="1:13" x14ac:dyDescent="0.2">
      <c r="A53" t="s">
        <v>764</v>
      </c>
      <c r="B53" t="s">
        <v>660</v>
      </c>
      <c r="D53">
        <v>2</v>
      </c>
      <c r="E53">
        <v>1</v>
      </c>
      <c r="F53">
        <v>3</v>
      </c>
      <c r="G53">
        <v>100</v>
      </c>
      <c r="H53">
        <v>3</v>
      </c>
      <c r="I53" t="s">
        <v>868</v>
      </c>
      <c r="J53">
        <v>0.50449999999999995</v>
      </c>
      <c r="K53">
        <v>0.19304015126392701</v>
      </c>
      <c r="L53">
        <v>0.58750000000000002</v>
      </c>
      <c r="M53">
        <v>5.5861435713737202E-2</v>
      </c>
    </row>
    <row r="54" spans="1:13" x14ac:dyDescent="0.2">
      <c r="A54" t="s">
        <v>765</v>
      </c>
      <c r="B54" t="s">
        <v>767</v>
      </c>
      <c r="D54">
        <v>1</v>
      </c>
      <c r="E54">
        <v>1</v>
      </c>
      <c r="F54">
        <v>1</v>
      </c>
      <c r="G54">
        <v>100</v>
      </c>
      <c r="H54">
        <v>1</v>
      </c>
      <c r="I54" t="s">
        <v>880</v>
      </c>
      <c r="J54">
        <v>0.626</v>
      </c>
      <c r="K54">
        <v>0</v>
      </c>
      <c r="L54">
        <v>0.54800000000000004</v>
      </c>
      <c r="M54">
        <v>0</v>
      </c>
    </row>
    <row r="55" spans="1:13" x14ac:dyDescent="0.2">
      <c r="A55" t="s">
        <v>768</v>
      </c>
      <c r="B55" t="s">
        <v>769</v>
      </c>
      <c r="D55">
        <v>1</v>
      </c>
      <c r="E55">
        <v>1</v>
      </c>
      <c r="F55">
        <v>1</v>
      </c>
      <c r="G55">
        <v>100</v>
      </c>
      <c r="H55">
        <v>1</v>
      </c>
      <c r="I55" t="s">
        <v>880</v>
      </c>
      <c r="J55">
        <v>0.60099999999999998</v>
      </c>
      <c r="K55">
        <v>0</v>
      </c>
      <c r="L55">
        <v>0.53200000000000003</v>
      </c>
      <c r="M55">
        <v>0</v>
      </c>
    </row>
    <row r="56" spans="1:13" x14ac:dyDescent="0.2">
      <c r="A56" t="s">
        <v>770</v>
      </c>
      <c r="B56" t="s">
        <v>760</v>
      </c>
      <c r="D56">
        <v>1</v>
      </c>
      <c r="E56">
        <v>1</v>
      </c>
      <c r="F56">
        <v>1</v>
      </c>
      <c r="G56">
        <v>100</v>
      </c>
      <c r="H56">
        <v>1</v>
      </c>
      <c r="I56" t="s">
        <v>880</v>
      </c>
      <c r="J56">
        <v>0.60099999999999998</v>
      </c>
      <c r="K56">
        <v>0</v>
      </c>
      <c r="L56">
        <v>0.53200000000000003</v>
      </c>
      <c r="M56">
        <v>0</v>
      </c>
    </row>
    <row r="57" spans="1:13" x14ac:dyDescent="0.2">
      <c r="A57" t="s">
        <v>771</v>
      </c>
      <c r="B57" t="s">
        <v>660</v>
      </c>
      <c r="D57">
        <v>2</v>
      </c>
      <c r="E57">
        <v>1</v>
      </c>
      <c r="F57">
        <v>3</v>
      </c>
      <c r="G57">
        <v>100</v>
      </c>
      <c r="H57">
        <v>3</v>
      </c>
      <c r="I57" t="s">
        <v>868</v>
      </c>
      <c r="J57">
        <v>0.77200000000000002</v>
      </c>
      <c r="K57">
        <v>0.18526197667087499</v>
      </c>
      <c r="L57">
        <v>0.504</v>
      </c>
      <c r="M57">
        <v>7.3539105243400904E-2</v>
      </c>
    </row>
    <row r="58" spans="1:13" x14ac:dyDescent="0.2">
      <c r="A58" t="s">
        <v>774</v>
      </c>
      <c r="B58" t="s">
        <v>660</v>
      </c>
      <c r="D58">
        <v>2</v>
      </c>
      <c r="E58">
        <v>1</v>
      </c>
      <c r="F58">
        <v>3</v>
      </c>
      <c r="G58">
        <v>100</v>
      </c>
      <c r="H58">
        <v>3</v>
      </c>
      <c r="I58" t="s">
        <v>868</v>
      </c>
      <c r="J58">
        <v>0.81899999999999995</v>
      </c>
      <c r="K58">
        <v>0.19516147160748701</v>
      </c>
      <c r="L58">
        <v>0.78949999999999998</v>
      </c>
      <c r="M58">
        <v>0.24112341238461199</v>
      </c>
    </row>
    <row r="59" spans="1:13" x14ac:dyDescent="0.2">
      <c r="A59" t="s">
        <v>776</v>
      </c>
      <c r="B59" t="s">
        <v>660</v>
      </c>
      <c r="D59">
        <v>1</v>
      </c>
      <c r="E59">
        <v>1</v>
      </c>
      <c r="F59">
        <v>3</v>
      </c>
      <c r="G59">
        <v>100</v>
      </c>
      <c r="H59">
        <v>3</v>
      </c>
      <c r="I59" t="s">
        <v>867</v>
      </c>
      <c r="J59">
        <v>0.63100000000000001</v>
      </c>
      <c r="K59">
        <v>0</v>
      </c>
      <c r="L59">
        <v>0.46</v>
      </c>
      <c r="M59">
        <v>0</v>
      </c>
    </row>
    <row r="60" spans="1:13" x14ac:dyDescent="0.2">
      <c r="A60" t="s">
        <v>777</v>
      </c>
      <c r="B60" t="s">
        <v>660</v>
      </c>
      <c r="D60">
        <v>2</v>
      </c>
      <c r="E60">
        <v>1</v>
      </c>
      <c r="F60">
        <v>3</v>
      </c>
      <c r="G60">
        <v>100</v>
      </c>
      <c r="H60">
        <v>3</v>
      </c>
      <c r="I60" t="s">
        <v>868</v>
      </c>
      <c r="J60">
        <v>0.8115</v>
      </c>
      <c r="K60">
        <v>0.24112341238461199</v>
      </c>
      <c r="L60">
        <v>0.65049999999999997</v>
      </c>
      <c r="M60">
        <v>0.10111626970967599</v>
      </c>
    </row>
    <row r="61" spans="1:13" x14ac:dyDescent="0.2">
      <c r="A61" t="s">
        <v>778</v>
      </c>
      <c r="B61" t="s">
        <v>660</v>
      </c>
      <c r="D61">
        <v>2</v>
      </c>
      <c r="E61">
        <v>2</v>
      </c>
      <c r="F61">
        <v>4</v>
      </c>
      <c r="G61">
        <v>50</v>
      </c>
      <c r="H61" t="s">
        <v>869</v>
      </c>
      <c r="I61" t="s">
        <v>876</v>
      </c>
      <c r="J61">
        <v>0.50600000000000001</v>
      </c>
      <c r="K61">
        <v>0.134350288425444</v>
      </c>
      <c r="L61">
        <v>0.28999999999999998</v>
      </c>
      <c r="M61">
        <v>0.34223968209428901</v>
      </c>
    </row>
    <row r="62" spans="1:13" x14ac:dyDescent="0.2">
      <c r="A62" t="s">
        <v>779</v>
      </c>
      <c r="B62" t="s">
        <v>660</v>
      </c>
      <c r="D62">
        <v>2</v>
      </c>
      <c r="E62">
        <v>1</v>
      </c>
      <c r="F62">
        <v>3</v>
      </c>
      <c r="G62">
        <v>100</v>
      </c>
      <c r="H62">
        <v>3</v>
      </c>
      <c r="I62" t="s">
        <v>868</v>
      </c>
      <c r="J62">
        <v>0.64100000000000001</v>
      </c>
      <c r="K62">
        <v>0</v>
      </c>
      <c r="L62">
        <v>0.57899999999999996</v>
      </c>
      <c r="M62">
        <v>0</v>
      </c>
    </row>
    <row r="63" spans="1:13" x14ac:dyDescent="0.2">
      <c r="A63" t="s">
        <v>780</v>
      </c>
      <c r="B63" t="s">
        <v>660</v>
      </c>
      <c r="D63">
        <v>1</v>
      </c>
      <c r="E63">
        <v>1</v>
      </c>
      <c r="F63">
        <v>3</v>
      </c>
      <c r="G63">
        <v>100</v>
      </c>
      <c r="H63">
        <v>3</v>
      </c>
      <c r="I63" t="s">
        <v>867</v>
      </c>
      <c r="J63">
        <v>0.60099999999999998</v>
      </c>
      <c r="K63">
        <v>0</v>
      </c>
      <c r="L63">
        <v>0.53200000000000003</v>
      </c>
      <c r="M63">
        <v>0</v>
      </c>
    </row>
    <row r="64" spans="1:13" x14ac:dyDescent="0.2">
      <c r="A64" t="s">
        <v>783</v>
      </c>
      <c r="B64" t="s">
        <v>660</v>
      </c>
      <c r="D64">
        <v>3</v>
      </c>
      <c r="E64">
        <v>1</v>
      </c>
      <c r="F64">
        <v>3</v>
      </c>
      <c r="G64">
        <v>100</v>
      </c>
      <c r="H64">
        <v>3</v>
      </c>
      <c r="I64" t="s">
        <v>864</v>
      </c>
      <c r="J64">
        <v>0.67233333333333301</v>
      </c>
      <c r="K64">
        <v>9.11336015602002E-2</v>
      </c>
      <c r="L64">
        <v>0.52400000000000002</v>
      </c>
      <c r="M64">
        <v>1.3856406460551E-2</v>
      </c>
    </row>
    <row r="65" spans="1:13" x14ac:dyDescent="0.2">
      <c r="A65" t="s">
        <v>784</v>
      </c>
      <c r="B65" t="s">
        <v>660</v>
      </c>
      <c r="D65">
        <v>4</v>
      </c>
      <c r="E65">
        <v>1</v>
      </c>
      <c r="F65">
        <v>3</v>
      </c>
      <c r="G65">
        <v>100</v>
      </c>
      <c r="H65">
        <v>3</v>
      </c>
      <c r="I65" t="s">
        <v>881</v>
      </c>
      <c r="J65">
        <v>0.82974999999999999</v>
      </c>
      <c r="K65">
        <v>0.18293236455039799</v>
      </c>
      <c r="L65">
        <v>0.48399999999999999</v>
      </c>
      <c r="M65">
        <v>8.4604964393349802E-2</v>
      </c>
    </row>
    <row r="66" spans="1:13" x14ac:dyDescent="0.2">
      <c r="A66" t="s">
        <v>787</v>
      </c>
      <c r="B66" t="s">
        <v>660</v>
      </c>
      <c r="D66">
        <v>4</v>
      </c>
      <c r="E66">
        <v>1</v>
      </c>
      <c r="F66">
        <v>3</v>
      </c>
      <c r="G66">
        <v>100</v>
      </c>
      <c r="H66">
        <v>3</v>
      </c>
      <c r="I66" t="s">
        <v>881</v>
      </c>
      <c r="J66">
        <v>0.70250000000000001</v>
      </c>
      <c r="K66">
        <v>0.19082365332071999</v>
      </c>
      <c r="L66">
        <v>0.58750000000000002</v>
      </c>
      <c r="M66">
        <v>0.13145721737508301</v>
      </c>
    </row>
    <row r="67" spans="1:13" x14ac:dyDescent="0.2">
      <c r="A67" t="s">
        <v>788</v>
      </c>
      <c r="B67" t="s">
        <v>660</v>
      </c>
      <c r="D67">
        <v>4</v>
      </c>
      <c r="E67">
        <v>1</v>
      </c>
      <c r="F67">
        <v>3</v>
      </c>
      <c r="G67">
        <v>100</v>
      </c>
      <c r="H67">
        <v>3</v>
      </c>
      <c r="I67" t="s">
        <v>881</v>
      </c>
      <c r="J67">
        <v>0.89124999999999999</v>
      </c>
      <c r="K67">
        <v>0.19350000000000001</v>
      </c>
      <c r="L67">
        <v>0.49</v>
      </c>
      <c r="M67">
        <v>2.8000000000000001E-2</v>
      </c>
    </row>
    <row r="68" spans="1:13" x14ac:dyDescent="0.2">
      <c r="A68" t="s">
        <v>790</v>
      </c>
      <c r="B68" t="s">
        <v>660</v>
      </c>
      <c r="C68" t="s">
        <v>678</v>
      </c>
      <c r="D68">
        <v>3</v>
      </c>
      <c r="E68">
        <v>1</v>
      </c>
      <c r="F68">
        <v>3</v>
      </c>
      <c r="G68">
        <v>100</v>
      </c>
      <c r="H68">
        <v>3</v>
      </c>
      <c r="I68" t="s">
        <v>864</v>
      </c>
      <c r="J68">
        <v>0.59633333333333305</v>
      </c>
      <c r="K68">
        <v>8.0829037686547603E-3</v>
      </c>
      <c r="L68">
        <v>0.55300000000000005</v>
      </c>
      <c r="M68">
        <v>3.63730669589463E-2</v>
      </c>
    </row>
    <row r="69" spans="1:13" x14ac:dyDescent="0.2">
      <c r="A69" t="s">
        <v>793</v>
      </c>
      <c r="B69" t="s">
        <v>693</v>
      </c>
      <c r="C69" t="s">
        <v>658</v>
      </c>
      <c r="D69">
        <v>1</v>
      </c>
      <c r="E69">
        <v>1</v>
      </c>
      <c r="F69">
        <v>8</v>
      </c>
      <c r="G69">
        <v>100</v>
      </c>
      <c r="H69">
        <v>8</v>
      </c>
      <c r="I69" t="s">
        <v>882</v>
      </c>
      <c r="J69">
        <v>0.81899999999999995</v>
      </c>
      <c r="K69">
        <v>0</v>
      </c>
      <c r="L69">
        <v>0.49199999999999999</v>
      </c>
      <c r="M69">
        <v>0</v>
      </c>
    </row>
    <row r="70" spans="1:13" x14ac:dyDescent="0.2">
      <c r="A70" t="s">
        <v>796</v>
      </c>
      <c r="B70" t="s">
        <v>693</v>
      </c>
      <c r="D70">
        <v>1</v>
      </c>
      <c r="E70">
        <v>1</v>
      </c>
      <c r="F70">
        <v>8</v>
      </c>
      <c r="G70">
        <v>100</v>
      </c>
      <c r="H70">
        <v>8</v>
      </c>
      <c r="I70" t="s">
        <v>882</v>
      </c>
      <c r="J70">
        <v>0.60099999999999998</v>
      </c>
      <c r="K70">
        <v>0</v>
      </c>
      <c r="L70">
        <v>0.53200000000000003</v>
      </c>
      <c r="M70">
        <v>0</v>
      </c>
    </row>
    <row r="71" spans="1:13" x14ac:dyDescent="0.2">
      <c r="A71" t="s">
        <v>798</v>
      </c>
      <c r="B71" t="s">
        <v>660</v>
      </c>
      <c r="C71" t="s">
        <v>683</v>
      </c>
      <c r="D71">
        <v>5</v>
      </c>
      <c r="E71">
        <v>1</v>
      </c>
      <c r="F71">
        <v>3</v>
      </c>
      <c r="G71">
        <v>100</v>
      </c>
      <c r="H71">
        <v>3</v>
      </c>
      <c r="I71" t="s">
        <v>861</v>
      </c>
      <c r="J71">
        <v>0.71919999999999995</v>
      </c>
      <c r="K71">
        <v>0.19917379345687</v>
      </c>
      <c r="L71">
        <v>0.52880000000000005</v>
      </c>
      <c r="M71">
        <v>3.55977527380592E-2</v>
      </c>
    </row>
    <row r="72" spans="1:13" x14ac:dyDescent="0.2">
      <c r="A72" t="s">
        <v>800</v>
      </c>
      <c r="B72" t="s">
        <v>747</v>
      </c>
      <c r="C72" t="s">
        <v>658</v>
      </c>
      <c r="D72">
        <v>3</v>
      </c>
      <c r="E72">
        <v>1</v>
      </c>
      <c r="F72">
        <v>6</v>
      </c>
      <c r="G72">
        <v>100</v>
      </c>
      <c r="H72">
        <v>6</v>
      </c>
      <c r="I72" t="s">
        <v>883</v>
      </c>
      <c r="J72">
        <v>0.88466666666666605</v>
      </c>
      <c r="K72">
        <v>0.13124150766176501</v>
      </c>
      <c r="L72">
        <v>0.64300000000000002</v>
      </c>
      <c r="M72">
        <v>0.25539577130406799</v>
      </c>
    </row>
    <row r="73" spans="1:13" x14ac:dyDescent="0.2">
      <c r="A73" t="s">
        <v>802</v>
      </c>
      <c r="B73" t="s">
        <v>660</v>
      </c>
      <c r="C73" t="s">
        <v>754</v>
      </c>
      <c r="D73">
        <v>1</v>
      </c>
      <c r="E73">
        <v>1</v>
      </c>
      <c r="F73">
        <v>3</v>
      </c>
      <c r="G73">
        <v>100</v>
      </c>
      <c r="H73">
        <v>3</v>
      </c>
      <c r="I73" t="s">
        <v>867</v>
      </c>
      <c r="J73">
        <v>0.60099999999999998</v>
      </c>
      <c r="K73">
        <v>0</v>
      </c>
      <c r="L73">
        <v>0.53200000000000003</v>
      </c>
      <c r="M73">
        <v>0</v>
      </c>
    </row>
    <row r="74" spans="1:13" x14ac:dyDescent="0.2">
      <c r="A74" t="s">
        <v>884</v>
      </c>
      <c r="D74">
        <v>3</v>
      </c>
      <c r="E74">
        <v>1</v>
      </c>
      <c r="F74">
        <v>3</v>
      </c>
      <c r="G74">
        <v>100</v>
      </c>
      <c r="H74">
        <v>3</v>
      </c>
      <c r="I74" t="s">
        <v>864</v>
      </c>
      <c r="J74">
        <v>0.87533333333333296</v>
      </c>
      <c r="K74">
        <v>9.7572195493046701E-2</v>
      </c>
      <c r="L74">
        <v>0.52633333333333299</v>
      </c>
      <c r="M74">
        <v>7.37586153159977E-2</v>
      </c>
    </row>
    <row r="75" spans="1:13" x14ac:dyDescent="0.2">
      <c r="A75" t="s">
        <v>804</v>
      </c>
      <c r="B75" t="s">
        <v>660</v>
      </c>
      <c r="C75" t="s">
        <v>754</v>
      </c>
      <c r="D75">
        <v>6</v>
      </c>
      <c r="E75">
        <v>1</v>
      </c>
      <c r="F75">
        <v>3</v>
      </c>
      <c r="G75">
        <v>100</v>
      </c>
      <c r="H75">
        <v>3</v>
      </c>
      <c r="I75" t="s">
        <v>885</v>
      </c>
      <c r="J75">
        <v>0.66299999999999903</v>
      </c>
      <c r="K75">
        <v>0.127974997558116</v>
      </c>
      <c r="L75">
        <v>0.732833333333333</v>
      </c>
      <c r="M75">
        <v>0.161984464275641</v>
      </c>
    </row>
    <row r="76" spans="1:13" x14ac:dyDescent="0.2">
      <c r="A76" t="s">
        <v>805</v>
      </c>
      <c r="B76" t="s">
        <v>808</v>
      </c>
      <c r="C76" t="s">
        <v>683</v>
      </c>
      <c r="D76">
        <v>3</v>
      </c>
      <c r="E76">
        <v>1</v>
      </c>
      <c r="F76">
        <v>2</v>
      </c>
      <c r="G76">
        <v>100</v>
      </c>
      <c r="H76">
        <v>2</v>
      </c>
      <c r="I76" t="s">
        <v>886</v>
      </c>
      <c r="J76">
        <v>0.57099999999999995</v>
      </c>
      <c r="K76">
        <v>5.1961524227066298E-2</v>
      </c>
      <c r="L76">
        <v>0.38366666666666599</v>
      </c>
      <c r="M76">
        <v>0.256920869789383</v>
      </c>
    </row>
    <row r="77" spans="1:13" x14ac:dyDescent="0.2">
      <c r="A77" t="s">
        <v>809</v>
      </c>
      <c r="B77" t="s">
        <v>660</v>
      </c>
      <c r="C77" t="s">
        <v>658</v>
      </c>
      <c r="D77">
        <v>3</v>
      </c>
      <c r="E77">
        <v>1</v>
      </c>
      <c r="F77">
        <v>3</v>
      </c>
      <c r="G77">
        <v>100</v>
      </c>
      <c r="H77">
        <v>3</v>
      </c>
      <c r="I77" t="s">
        <v>864</v>
      </c>
      <c r="J77">
        <v>0.86299999999999999</v>
      </c>
      <c r="K77">
        <v>0.226977972499535</v>
      </c>
      <c r="L77">
        <v>0.49199999999999999</v>
      </c>
      <c r="M77">
        <v>3.4871191548325402E-2</v>
      </c>
    </row>
    <row r="78" spans="1:13" x14ac:dyDescent="0.2">
      <c r="A78" t="s">
        <v>810</v>
      </c>
      <c r="B78" t="s">
        <v>808</v>
      </c>
      <c r="D78">
        <v>4</v>
      </c>
      <c r="E78">
        <v>2</v>
      </c>
      <c r="F78">
        <v>2</v>
      </c>
      <c r="G78">
        <v>75</v>
      </c>
      <c r="H78" t="s">
        <v>887</v>
      </c>
      <c r="I78" t="s">
        <v>888</v>
      </c>
      <c r="J78">
        <v>0.64524999999999999</v>
      </c>
      <c r="K78">
        <v>0.27642765780579898</v>
      </c>
      <c r="L78">
        <v>0.40675</v>
      </c>
      <c r="M78">
        <v>0.15491368564461899</v>
      </c>
    </row>
    <row r="79" spans="1:13" x14ac:dyDescent="0.2">
      <c r="A79" t="s">
        <v>812</v>
      </c>
      <c r="B79" t="s">
        <v>760</v>
      </c>
      <c r="C79" t="s">
        <v>658</v>
      </c>
      <c r="D79">
        <v>2</v>
      </c>
      <c r="E79">
        <v>1</v>
      </c>
      <c r="F79">
        <v>1</v>
      </c>
      <c r="G79">
        <v>100</v>
      </c>
      <c r="H79">
        <v>1</v>
      </c>
      <c r="I79" t="s">
        <v>889</v>
      </c>
      <c r="J79">
        <v>0.60099999999999998</v>
      </c>
      <c r="K79">
        <v>0</v>
      </c>
      <c r="L79">
        <v>0.53200000000000003</v>
      </c>
      <c r="M79">
        <v>0</v>
      </c>
    </row>
    <row r="80" spans="1:13" x14ac:dyDescent="0.2">
      <c r="A80" t="s">
        <v>814</v>
      </c>
      <c r="B80" t="s">
        <v>660</v>
      </c>
      <c r="C80" t="s">
        <v>667</v>
      </c>
      <c r="D80">
        <v>2</v>
      </c>
      <c r="E80">
        <v>1</v>
      </c>
      <c r="F80">
        <v>3</v>
      </c>
      <c r="G80">
        <v>100</v>
      </c>
      <c r="H80">
        <v>3</v>
      </c>
      <c r="I80" t="s">
        <v>868</v>
      </c>
      <c r="J80">
        <v>0.59399999999999997</v>
      </c>
      <c r="K80">
        <v>9.8994949366116702E-3</v>
      </c>
      <c r="L80">
        <v>0.6825</v>
      </c>
      <c r="M80">
        <v>0.21283914113715</v>
      </c>
    </row>
    <row r="81" spans="1:13" x14ac:dyDescent="0.2">
      <c r="A81" t="s">
        <v>816</v>
      </c>
      <c r="B81" t="s">
        <v>760</v>
      </c>
      <c r="C81" t="s">
        <v>667</v>
      </c>
      <c r="D81">
        <v>4</v>
      </c>
      <c r="E81">
        <v>2</v>
      </c>
      <c r="F81">
        <v>0</v>
      </c>
      <c r="G81">
        <v>50</v>
      </c>
      <c r="H81" t="s">
        <v>890</v>
      </c>
      <c r="I81" t="s">
        <v>891</v>
      </c>
      <c r="J81">
        <v>0.66500000000000004</v>
      </c>
      <c r="K81">
        <v>0.23328523313746199</v>
      </c>
      <c r="L81">
        <v>0.53974999999999995</v>
      </c>
      <c r="M81">
        <v>0.322606442382458</v>
      </c>
    </row>
    <row r="82" spans="1:13" x14ac:dyDescent="0.2">
      <c r="A82" t="s">
        <v>819</v>
      </c>
      <c r="B82" t="s">
        <v>660</v>
      </c>
      <c r="D82">
        <v>1</v>
      </c>
      <c r="E82">
        <v>1</v>
      </c>
      <c r="F82">
        <v>3</v>
      </c>
      <c r="G82">
        <v>100</v>
      </c>
      <c r="H82">
        <v>3</v>
      </c>
      <c r="I82" t="s">
        <v>867</v>
      </c>
      <c r="J82">
        <v>0.98799999999999999</v>
      </c>
      <c r="K82">
        <v>0</v>
      </c>
      <c r="L82">
        <v>0.47599999999999998</v>
      </c>
      <c r="M82">
        <v>0</v>
      </c>
    </row>
    <row r="83" spans="1:13" x14ac:dyDescent="0.2">
      <c r="A83" t="s">
        <v>820</v>
      </c>
      <c r="B83" t="s">
        <v>660</v>
      </c>
      <c r="D83">
        <v>7</v>
      </c>
      <c r="E83">
        <v>1</v>
      </c>
      <c r="F83">
        <v>3</v>
      </c>
      <c r="G83">
        <v>100</v>
      </c>
      <c r="H83">
        <v>3</v>
      </c>
      <c r="I83" t="s">
        <v>892</v>
      </c>
      <c r="J83">
        <v>0.84242857142857097</v>
      </c>
      <c r="K83">
        <v>8.9423817004302894E-2</v>
      </c>
      <c r="L83">
        <v>0.36028571428571399</v>
      </c>
      <c r="M83">
        <v>0.103440343976152</v>
      </c>
    </row>
    <row r="84" spans="1:13" x14ac:dyDescent="0.2">
      <c r="A84" t="s">
        <v>821</v>
      </c>
      <c r="B84" t="s">
        <v>660</v>
      </c>
      <c r="C84" t="s">
        <v>725</v>
      </c>
      <c r="D84">
        <v>4</v>
      </c>
      <c r="E84">
        <v>1</v>
      </c>
      <c r="F84">
        <v>3</v>
      </c>
      <c r="G84">
        <v>100</v>
      </c>
      <c r="H84">
        <v>3</v>
      </c>
      <c r="I84" t="s">
        <v>881</v>
      </c>
      <c r="J84">
        <v>0.60099999999999998</v>
      </c>
      <c r="K84">
        <v>0</v>
      </c>
      <c r="L84">
        <v>0.53200000000000003</v>
      </c>
      <c r="M84">
        <v>0</v>
      </c>
    </row>
    <row r="85" spans="1:13" x14ac:dyDescent="0.2">
      <c r="A85" t="s">
        <v>823</v>
      </c>
      <c r="B85" t="s">
        <v>808</v>
      </c>
      <c r="D85">
        <v>2</v>
      </c>
      <c r="E85">
        <v>1</v>
      </c>
      <c r="F85">
        <v>2</v>
      </c>
      <c r="G85">
        <v>100</v>
      </c>
      <c r="H85">
        <v>2</v>
      </c>
      <c r="I85" t="s">
        <v>893</v>
      </c>
      <c r="J85">
        <v>0.53249999999999997</v>
      </c>
      <c r="K85">
        <v>9.6873629022556904E-2</v>
      </c>
      <c r="L85">
        <v>0.42849999999999999</v>
      </c>
      <c r="M85">
        <v>0.14637110370561501</v>
      </c>
    </row>
    <row r="86" spans="1:13" x14ac:dyDescent="0.2">
      <c r="A86" t="s">
        <v>825</v>
      </c>
      <c r="B86" t="s">
        <v>808</v>
      </c>
      <c r="C86" t="s">
        <v>725</v>
      </c>
      <c r="D86">
        <v>2</v>
      </c>
      <c r="E86">
        <v>1</v>
      </c>
      <c r="F86">
        <v>2</v>
      </c>
      <c r="G86">
        <v>100</v>
      </c>
      <c r="H86">
        <v>2</v>
      </c>
      <c r="I86" t="s">
        <v>893</v>
      </c>
      <c r="J86">
        <v>0.98799999999999999</v>
      </c>
      <c r="K86">
        <v>0</v>
      </c>
      <c r="L86">
        <v>0.66700000000000004</v>
      </c>
      <c r="M86">
        <v>0</v>
      </c>
    </row>
    <row r="87" spans="1:13" x14ac:dyDescent="0.2">
      <c r="A87" t="s">
        <v>826</v>
      </c>
      <c r="B87" t="s">
        <v>660</v>
      </c>
      <c r="D87">
        <v>4</v>
      </c>
      <c r="E87">
        <v>1</v>
      </c>
      <c r="F87">
        <v>3</v>
      </c>
      <c r="G87">
        <v>100</v>
      </c>
      <c r="H87">
        <v>3</v>
      </c>
      <c r="I87" t="s">
        <v>881</v>
      </c>
      <c r="J87">
        <v>0.63800000000000001</v>
      </c>
      <c r="K87">
        <v>6.3780874876407795E-2</v>
      </c>
      <c r="L87">
        <v>0.51600000000000001</v>
      </c>
      <c r="M87">
        <v>1.9595917942265399E-2</v>
      </c>
    </row>
    <row r="88" spans="1:13" x14ac:dyDescent="0.2">
      <c r="A88" t="s">
        <v>894</v>
      </c>
      <c r="D88">
        <v>6</v>
      </c>
      <c r="E88">
        <v>5</v>
      </c>
      <c r="F88">
        <v>2</v>
      </c>
      <c r="G88">
        <v>33.3333333333333</v>
      </c>
      <c r="H88" t="s">
        <v>895</v>
      </c>
      <c r="I88" t="s">
        <v>896</v>
      </c>
      <c r="J88">
        <v>0.79116666666666602</v>
      </c>
      <c r="K88">
        <v>0.22506302820913601</v>
      </c>
      <c r="L88">
        <v>0.421833333333333</v>
      </c>
      <c r="M88">
        <v>0.166865714473245</v>
      </c>
    </row>
    <row r="89" spans="1:13" x14ac:dyDescent="0.2">
      <c r="A89" t="s">
        <v>828</v>
      </c>
      <c r="B89" t="s">
        <v>660</v>
      </c>
      <c r="C89" t="s">
        <v>678</v>
      </c>
      <c r="D89">
        <v>3</v>
      </c>
      <c r="E89">
        <v>1</v>
      </c>
      <c r="F89">
        <v>3</v>
      </c>
      <c r="G89">
        <v>100</v>
      </c>
      <c r="H89">
        <v>3</v>
      </c>
      <c r="I89" t="s">
        <v>864</v>
      </c>
      <c r="J89">
        <v>0.65766666666666596</v>
      </c>
      <c r="K89">
        <v>0.11049585210917801</v>
      </c>
      <c r="L89">
        <v>0.64566666666666594</v>
      </c>
      <c r="M89">
        <v>0.24696625950386999</v>
      </c>
    </row>
    <row r="90" spans="1:13" x14ac:dyDescent="0.2">
      <c r="A90" t="s">
        <v>829</v>
      </c>
      <c r="B90" t="s">
        <v>660</v>
      </c>
      <c r="D90">
        <v>3</v>
      </c>
      <c r="E90">
        <v>2</v>
      </c>
      <c r="F90">
        <v>3</v>
      </c>
      <c r="G90">
        <v>66.6666666666666</v>
      </c>
      <c r="H90" t="s">
        <v>869</v>
      </c>
      <c r="I90" t="s">
        <v>897</v>
      </c>
      <c r="J90">
        <v>0.44233333333333302</v>
      </c>
      <c r="K90">
        <v>0.14914869537925299</v>
      </c>
      <c r="L90">
        <v>0.43633333333333302</v>
      </c>
      <c r="M90">
        <v>0.33587845023658902</v>
      </c>
    </row>
    <row r="91" spans="1:13" x14ac:dyDescent="0.2">
      <c r="A91" t="s">
        <v>830</v>
      </c>
      <c r="B91" t="s">
        <v>733</v>
      </c>
      <c r="C91" t="s">
        <v>658</v>
      </c>
      <c r="D91">
        <v>3</v>
      </c>
      <c r="E91">
        <v>1</v>
      </c>
      <c r="F91">
        <v>9</v>
      </c>
      <c r="G91">
        <v>100</v>
      </c>
      <c r="H91">
        <v>9</v>
      </c>
      <c r="I91" t="s">
        <v>898</v>
      </c>
      <c r="J91">
        <v>0.69199999999999995</v>
      </c>
      <c r="K91">
        <v>8.8334591186012695E-2</v>
      </c>
      <c r="L91">
        <v>0.47133333333333299</v>
      </c>
      <c r="M91">
        <v>0.14664696837416399</v>
      </c>
    </row>
    <row r="92" spans="1:13" x14ac:dyDescent="0.2">
      <c r="A92" t="s">
        <v>831</v>
      </c>
      <c r="B92" t="s">
        <v>660</v>
      </c>
      <c r="D92">
        <v>2</v>
      </c>
      <c r="E92">
        <v>1</v>
      </c>
      <c r="F92">
        <v>4</v>
      </c>
      <c r="G92">
        <v>100</v>
      </c>
      <c r="H92">
        <v>4</v>
      </c>
      <c r="I92" t="s">
        <v>899</v>
      </c>
      <c r="J92">
        <v>0.45800000000000002</v>
      </c>
      <c r="K92">
        <v>0</v>
      </c>
      <c r="L92">
        <v>8.6999999999999994E-2</v>
      </c>
      <c r="M92">
        <v>0</v>
      </c>
    </row>
    <row r="93" spans="1:13" x14ac:dyDescent="0.2">
      <c r="A93" t="s">
        <v>832</v>
      </c>
      <c r="B93" t="s">
        <v>660</v>
      </c>
      <c r="C93" t="s">
        <v>678</v>
      </c>
      <c r="D93">
        <v>2</v>
      </c>
      <c r="E93">
        <v>2</v>
      </c>
      <c r="F93">
        <v>4</v>
      </c>
      <c r="G93">
        <v>50</v>
      </c>
      <c r="H93" t="s">
        <v>869</v>
      </c>
      <c r="I93" t="s">
        <v>876</v>
      </c>
      <c r="J93">
        <v>0.45650000000000002</v>
      </c>
      <c r="K93">
        <v>0.26092240225783597</v>
      </c>
      <c r="L93">
        <v>0.36149999999999999</v>
      </c>
      <c r="M93">
        <v>0.27506453788156698</v>
      </c>
    </row>
    <row r="94" spans="1:13" x14ac:dyDescent="0.2">
      <c r="A94" t="s">
        <v>833</v>
      </c>
      <c r="B94" t="s">
        <v>808</v>
      </c>
      <c r="C94" t="s">
        <v>667</v>
      </c>
      <c r="D94">
        <v>5</v>
      </c>
      <c r="E94">
        <v>1</v>
      </c>
      <c r="F94">
        <v>2</v>
      </c>
      <c r="G94">
        <v>100</v>
      </c>
      <c r="H94">
        <v>2</v>
      </c>
      <c r="I94" t="s">
        <v>900</v>
      </c>
      <c r="J94">
        <v>0.56579999999999997</v>
      </c>
      <c r="K94">
        <v>0.102543649242651</v>
      </c>
      <c r="L94">
        <v>0.55899999999999905</v>
      </c>
      <c r="M94">
        <v>3.9408120990475998E-2</v>
      </c>
    </row>
    <row r="95" spans="1:13" x14ac:dyDescent="0.2">
      <c r="A95" t="s">
        <v>835</v>
      </c>
      <c r="B95" t="s">
        <v>747</v>
      </c>
      <c r="D95">
        <v>5</v>
      </c>
      <c r="E95">
        <v>1</v>
      </c>
      <c r="F95">
        <v>6</v>
      </c>
      <c r="G95">
        <v>100</v>
      </c>
      <c r="H95">
        <v>6</v>
      </c>
      <c r="I95" t="s">
        <v>901</v>
      </c>
      <c r="J95">
        <v>0.74059999999999904</v>
      </c>
      <c r="K95">
        <v>0.193034452883416</v>
      </c>
      <c r="L95">
        <v>0.4904</v>
      </c>
      <c r="M95">
        <v>3.8946116622841802E-2</v>
      </c>
    </row>
    <row r="96" spans="1:13" x14ac:dyDescent="0.2">
      <c r="A96" t="s">
        <v>836</v>
      </c>
      <c r="B96" t="s">
        <v>660</v>
      </c>
      <c r="D96">
        <v>1</v>
      </c>
      <c r="E96">
        <v>1</v>
      </c>
      <c r="F96">
        <v>3</v>
      </c>
      <c r="G96">
        <v>100</v>
      </c>
      <c r="H96">
        <v>3</v>
      </c>
      <c r="I96" t="s">
        <v>867</v>
      </c>
      <c r="J96">
        <v>0.42099999999999999</v>
      </c>
      <c r="K96">
        <v>0</v>
      </c>
      <c r="L96">
        <v>0.77800000000000002</v>
      </c>
      <c r="M96">
        <v>0</v>
      </c>
    </row>
    <row r="97" spans="1:13" x14ac:dyDescent="0.2">
      <c r="A97" t="s">
        <v>837</v>
      </c>
      <c r="B97" t="s">
        <v>660</v>
      </c>
      <c r="D97">
        <v>11</v>
      </c>
      <c r="E97">
        <v>1</v>
      </c>
      <c r="F97">
        <v>3</v>
      </c>
      <c r="G97">
        <v>100</v>
      </c>
      <c r="H97">
        <v>3</v>
      </c>
      <c r="I97" t="s">
        <v>859</v>
      </c>
      <c r="J97">
        <v>0.68836363636363596</v>
      </c>
      <c r="K97">
        <v>0.18411207061313101</v>
      </c>
      <c r="L97">
        <v>0.61754545454545395</v>
      </c>
      <c r="M97">
        <v>0.11051277178350299</v>
      </c>
    </row>
    <row r="98" spans="1:13" x14ac:dyDescent="0.2">
      <c r="A98" t="s">
        <v>840</v>
      </c>
      <c r="B98" t="s">
        <v>660</v>
      </c>
      <c r="C98" t="s">
        <v>667</v>
      </c>
      <c r="D98">
        <v>5</v>
      </c>
      <c r="E98">
        <v>1</v>
      </c>
      <c r="F98">
        <v>3</v>
      </c>
      <c r="G98">
        <v>100</v>
      </c>
      <c r="H98">
        <v>3</v>
      </c>
      <c r="I98" t="s">
        <v>861</v>
      </c>
      <c r="J98">
        <v>0.55179999999999996</v>
      </c>
      <c r="K98">
        <v>0.123128794357778</v>
      </c>
      <c r="L98">
        <v>0.55059999999999998</v>
      </c>
      <c r="M98">
        <v>0.140745515026234</v>
      </c>
    </row>
    <row r="99" spans="1:13" x14ac:dyDescent="0.2">
      <c r="A99" t="s">
        <v>842</v>
      </c>
      <c r="B99" t="s">
        <v>760</v>
      </c>
      <c r="D99">
        <v>4</v>
      </c>
      <c r="E99">
        <v>2</v>
      </c>
      <c r="F99">
        <v>0</v>
      </c>
      <c r="G99">
        <v>75</v>
      </c>
      <c r="H99" t="s">
        <v>890</v>
      </c>
      <c r="I99" t="s">
        <v>902</v>
      </c>
      <c r="J99">
        <v>0.48575000000000002</v>
      </c>
      <c r="K99">
        <v>0.10349999999999999</v>
      </c>
      <c r="L99">
        <v>0.19825000000000001</v>
      </c>
      <c r="M99">
        <v>0.2225</v>
      </c>
    </row>
    <row r="100" spans="1:13" x14ac:dyDescent="0.2">
      <c r="A100" t="s">
        <v>843</v>
      </c>
      <c r="B100" t="s">
        <v>660</v>
      </c>
      <c r="C100" t="s">
        <v>667</v>
      </c>
      <c r="D100">
        <v>3</v>
      </c>
      <c r="E100">
        <v>2</v>
      </c>
      <c r="F100">
        <v>3</v>
      </c>
      <c r="G100">
        <v>66.6666666666666</v>
      </c>
      <c r="H100" t="s">
        <v>869</v>
      </c>
      <c r="I100" t="s">
        <v>897</v>
      </c>
      <c r="J100">
        <v>0.69033333333333302</v>
      </c>
      <c r="K100">
        <v>0.223150920529881</v>
      </c>
      <c r="L100">
        <v>0.34099999999999903</v>
      </c>
      <c r="M100">
        <v>0.26031519356349497</v>
      </c>
    </row>
    <row r="101" spans="1:13" x14ac:dyDescent="0.2">
      <c r="A101" t="s">
        <v>845</v>
      </c>
      <c r="B101" t="s">
        <v>808</v>
      </c>
      <c r="D101">
        <v>4</v>
      </c>
      <c r="E101">
        <v>1</v>
      </c>
      <c r="F101">
        <v>2</v>
      </c>
      <c r="G101">
        <v>100</v>
      </c>
      <c r="H101">
        <v>2</v>
      </c>
      <c r="I101" t="s">
        <v>903</v>
      </c>
      <c r="J101">
        <v>0.77649999999999997</v>
      </c>
      <c r="K101">
        <v>0.15905030650709201</v>
      </c>
      <c r="L101">
        <v>0.67274999999999996</v>
      </c>
      <c r="M101">
        <v>0.165506042185776</v>
      </c>
    </row>
    <row r="102" spans="1:13" x14ac:dyDescent="0.2">
      <c r="A102" t="s">
        <v>847</v>
      </c>
      <c r="B102" t="s">
        <v>733</v>
      </c>
      <c r="C102" t="s">
        <v>658</v>
      </c>
      <c r="D102">
        <v>2</v>
      </c>
      <c r="E102">
        <v>1</v>
      </c>
      <c r="F102">
        <v>9</v>
      </c>
      <c r="G102">
        <v>100</v>
      </c>
      <c r="H102">
        <v>9</v>
      </c>
      <c r="I102" t="s">
        <v>875</v>
      </c>
      <c r="J102">
        <v>0.59399999999999997</v>
      </c>
      <c r="K102">
        <v>9.8994949366116702E-3</v>
      </c>
      <c r="L102">
        <v>0.70650000000000002</v>
      </c>
      <c r="M102">
        <v>0.24678026663410499</v>
      </c>
    </row>
    <row r="103" spans="1:13" x14ac:dyDescent="0.2">
      <c r="A103" t="s">
        <v>849</v>
      </c>
      <c r="B103" t="s">
        <v>660</v>
      </c>
      <c r="D103">
        <v>1</v>
      </c>
      <c r="E103">
        <v>1</v>
      </c>
      <c r="F103">
        <v>3</v>
      </c>
      <c r="G103">
        <v>100</v>
      </c>
      <c r="H103">
        <v>3</v>
      </c>
      <c r="I103" t="s">
        <v>867</v>
      </c>
      <c r="J103">
        <v>0.81899999999999995</v>
      </c>
      <c r="K103">
        <v>0</v>
      </c>
      <c r="L103">
        <v>0.46</v>
      </c>
      <c r="M1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591E-FE6D-914F-971E-CF2F09D8F864}">
  <dimension ref="A1:U305"/>
  <sheetViews>
    <sheetView topLeftCell="A269" workbookViewId="0">
      <selection activeCell="A2" sqref="A2"/>
    </sheetView>
  </sheetViews>
  <sheetFormatPr baseColWidth="10" defaultRowHeight="16" x14ac:dyDescent="0.2"/>
  <cols>
    <col min="1" max="1" width="43.6640625" bestFit="1" customWidth="1"/>
    <col min="2" max="2" width="6.33203125" style="2" bestFit="1" customWidth="1"/>
    <col min="3" max="6" width="5.6640625" style="2" bestFit="1" customWidth="1"/>
    <col min="7" max="7" width="6.83203125" style="2" bestFit="1" customWidth="1"/>
    <col min="8" max="9" width="5.6640625" style="2" bestFit="1" customWidth="1"/>
    <col min="10" max="10" width="7.83203125" style="2" bestFit="1" customWidth="1"/>
    <col min="11" max="11" width="5.6640625" style="2" bestFit="1" customWidth="1"/>
  </cols>
  <sheetData>
    <row r="1" spans="1:21" x14ac:dyDescent="0.2"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t="s">
        <v>904</v>
      </c>
      <c r="M1" t="s">
        <v>905</v>
      </c>
      <c r="N1" t="s">
        <v>906</v>
      </c>
      <c r="O1" t="s">
        <v>907</v>
      </c>
      <c r="P1" t="s">
        <v>908</v>
      </c>
      <c r="Q1" t="s">
        <v>909</v>
      </c>
      <c r="R1" t="s">
        <v>910</v>
      </c>
      <c r="S1" t="s">
        <v>911</v>
      </c>
      <c r="T1" t="s">
        <v>912</v>
      </c>
      <c r="U1" t="s">
        <v>913</v>
      </c>
    </row>
    <row r="2" spans="1:21" x14ac:dyDescent="0.2">
      <c r="A2" t="s">
        <v>58</v>
      </c>
      <c r="B2" s="2">
        <v>0</v>
      </c>
      <c r="C2" s="2">
        <v>0</v>
      </c>
      <c r="D2" s="2">
        <v>9.5238095238095205E-2</v>
      </c>
      <c r="E2" s="2">
        <v>0.109243697478991</v>
      </c>
      <c r="F2" s="2">
        <v>0</v>
      </c>
      <c r="G2" s="2">
        <v>0</v>
      </c>
      <c r="H2" s="2">
        <v>0.22222222222222199</v>
      </c>
      <c r="I2" s="2">
        <v>0</v>
      </c>
      <c r="J2" s="2">
        <v>0</v>
      </c>
      <c r="K2" s="2">
        <v>0</v>
      </c>
      <c r="L2" t="str">
        <f>IF(B2=0,"","Q"&amp;INT(4*( RANK(B2, IF($B$2:$B$300&lt;&gt;0, $B$2:$B$300), 0) - 1 ) / COUNTIF($B$2:$B$300,"&gt;0")) + 1)</f>
        <v/>
      </c>
      <c r="M2" t="str">
        <f>IF(C2=0,"","Q"&amp;INT(4*( RANK(C2, IF($C$2:$C$300&lt;&gt;0, $C$2:$C$300), 0) - 1 ) / COUNTIF($C$2:$C$300,"&gt;0")) + 1)</f>
        <v/>
      </c>
      <c r="N2" t="str">
        <f>IF(D2=0,"","Q"&amp;INT(4*( RANK(D2, IF($D$2:$D$300&lt;&gt;0, $D$2:$D$300), 0) - 1 ) / COUNTIF($D$2:$D$300,"&gt;0")) + 1)</f>
        <v>Q3</v>
      </c>
      <c r="O2" t="str">
        <f>IF(E2=0,"","Q"&amp;INT(4*( RANK(E2, IF($E$2:$E$300&lt;&gt;0, $E$2:$E$300), 0) - 1 ) / COUNTIF($E$2:$E$300,"&gt;0")) + 1)</f>
        <v>Q1</v>
      </c>
      <c r="P2" t="str">
        <f>IF(F2=0,"","Q"&amp;INT(4*( RANK(F2, IF($F$2:$F$300&lt;&gt;0, $F$2:$F$300), 0) - 1 ) / COUNTIF($F$2:$F$300,"&gt;0")) + 1)</f>
        <v/>
      </c>
      <c r="Q2" t="str">
        <f>IF(G2=0,"","Q"&amp;INT(4*( RANK(G2, IF($G$2:$G$300&lt;&gt;0, $G$2:$G$300), 0) - 1 ) / COUNTIF($G$2:$G$300,"&gt;0")) + 1)</f>
        <v/>
      </c>
      <c r="R2" t="str">
        <f>IF(H2=0,"","Q"&amp;INT(4*( RANK(H2, IF($H$2:$H$300&lt;&gt;0, $H$2:$H$300), 0) - 1 ) / COUNTIF($H$2:$H$300,"&gt;0")) + 1)</f>
        <v>Q3</v>
      </c>
      <c r="S2" t="str">
        <f>IF(I2=0,"","Q"&amp;INT(4*( RANK(I2, IF($I$2:$I$300&lt;&gt;0, $I$2:$I$300), 0) - 1 ) / COUNTIF($I$2:$I$300,"&gt;0")) + 1)</f>
        <v/>
      </c>
      <c r="T2" t="str">
        <f>IF(J2=0,"","Q"&amp;INT(4*( RANK(J2, IF($J$2:$J$300&lt;&gt;0, $J$2:$J$300), 0) - 1 ) / COUNTIF($J$2:$J$300,"&gt;0")) + 1)</f>
        <v/>
      </c>
      <c r="U2" t="str">
        <f>IF(K2=0,"","Q"&amp;INT(4*( RANK(K2, IF($K$2:$K$300&lt;&gt;0, $K$2:$K$300), 0) - 1 ) / COUNTIF($K$2:$K$300,"&gt;0")) + 1)</f>
        <v/>
      </c>
    </row>
    <row r="3" spans="1:21" x14ac:dyDescent="0.2">
      <c r="A3" t="s">
        <v>59</v>
      </c>
      <c r="B3" s="2">
        <v>0</v>
      </c>
      <c r="C3" s="2">
        <v>0</v>
      </c>
      <c r="D3" s="2">
        <v>0</v>
      </c>
      <c r="E3" s="2">
        <v>4.2016806722688996E-3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t="str">
        <f t="shared" ref="L3:L66" si="0">IF(B3=0,"","Q"&amp;INT(4*( RANK(B3, IF($B$2:$B$300&lt;&gt;0, $B$2:$B$300), 0) - 1 ) / COUNTIF($B$2:$B$300,"&gt;0")) + 1)</f>
        <v/>
      </c>
      <c r="M3" t="str">
        <f t="shared" ref="M3:M66" si="1">IF(C3=0,"","Q"&amp;INT(4*( RANK(C3, IF($C$2:$C$300&lt;&gt;0, $C$2:$C$300), 0) - 1 ) / COUNTIF($C$2:$C$300,"&gt;0")) + 1)</f>
        <v/>
      </c>
      <c r="N3" t="str">
        <f t="shared" ref="N3:N66" si="2">IF(D3=0,"","Q"&amp;INT(4*( RANK(D3, IF($D$2:$D$300&lt;&gt;0, $D$2:$D$300), 0) - 1 ) / COUNTIF($D$2:$D$300,"&gt;0")) + 1)</f>
        <v/>
      </c>
      <c r="O3" t="str">
        <f t="shared" ref="O3:O66" si="3">IF(E3=0,"","Q"&amp;INT(4*( RANK(E3, IF($E$2:$E$300&lt;&gt;0, $E$2:$E$300), 0) - 1 ) / COUNTIF($E$2:$E$300,"&gt;0")) + 1)</f>
        <v>Q4</v>
      </c>
      <c r="P3" t="str">
        <f t="shared" ref="P3:P66" si="4">IF(F3=0,"","Q"&amp;INT(4*( RANK(F3, IF($F$2:$F$300&lt;&gt;0, $F$2:$F$300), 0) - 1 ) / COUNTIF($F$2:$F$300,"&gt;0")) + 1)</f>
        <v/>
      </c>
      <c r="Q3" t="str">
        <f t="shared" ref="Q3:Q66" si="5">IF(G3=0,"","Q"&amp;INT(4*( RANK(G3, IF($G$2:$G$300&lt;&gt;0, $G$2:$G$300), 0) - 1 ) / COUNTIF($G$2:$G$300,"&gt;0")) + 1)</f>
        <v/>
      </c>
      <c r="R3" t="str">
        <f t="shared" ref="R3:R66" si="6">IF(H3=0,"","Q"&amp;INT(4*( RANK(H3, IF($H$2:$H$300&lt;&gt;0, $H$2:$H$300), 0) - 1 ) / COUNTIF($H$2:$H$300,"&gt;0")) + 1)</f>
        <v/>
      </c>
      <c r="S3" t="str">
        <f t="shared" ref="S3:S66" si="7">IF(I3=0,"","Q"&amp;INT(4*( RANK(I3, IF($I$2:$I$300&lt;&gt;0, $I$2:$I$300), 0) - 1 ) / COUNTIF($I$2:$I$300,"&gt;0")) + 1)</f>
        <v/>
      </c>
      <c r="T3" t="str">
        <f t="shared" ref="T3:T66" si="8">IF(J3=0,"","Q"&amp;INT(4*( RANK(J3, IF($J$2:$J$300&lt;&gt;0, $J$2:$J$300), 0) - 1 ) / COUNTIF($J$2:$J$300,"&gt;0")) + 1)</f>
        <v/>
      </c>
      <c r="U3" t="str">
        <f t="shared" ref="U3:U66" si="9">IF(K3=0,"","Q"&amp;INT(4*( RANK(K3, IF($K$2:$K$300&lt;&gt;0, $K$2:$K$300), 0) - 1 ) / COUNTIF($K$2:$K$300,"&gt;0")) + 1)</f>
        <v/>
      </c>
    </row>
    <row r="4" spans="1:21" x14ac:dyDescent="0.2">
      <c r="A4" t="s">
        <v>60</v>
      </c>
      <c r="B4" s="2">
        <v>0</v>
      </c>
      <c r="C4" s="2">
        <v>0.5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t="str">
        <f t="shared" si="0"/>
        <v/>
      </c>
      <c r="M4" t="str">
        <f t="shared" si="1"/>
        <v>Q2</v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/>
      </c>
      <c r="R4" t="str">
        <f t="shared" si="6"/>
        <v/>
      </c>
      <c r="S4" t="str">
        <f t="shared" si="7"/>
        <v/>
      </c>
      <c r="T4" t="str">
        <f t="shared" si="8"/>
        <v/>
      </c>
      <c r="U4" t="str">
        <f t="shared" si="9"/>
        <v/>
      </c>
    </row>
    <row r="5" spans="1:21" x14ac:dyDescent="0.2">
      <c r="A5" t="s">
        <v>61</v>
      </c>
      <c r="B5" s="2">
        <v>0</v>
      </c>
      <c r="C5" s="2">
        <v>0</v>
      </c>
      <c r="D5" s="2">
        <v>0</v>
      </c>
      <c r="E5" s="2">
        <v>2.5210084033613401E-2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>Q1</v>
      </c>
      <c r="P5" t="str">
        <f t="shared" si="4"/>
        <v/>
      </c>
      <c r="Q5" t="str">
        <f t="shared" si="5"/>
        <v/>
      </c>
      <c r="R5" t="str">
        <f t="shared" si="6"/>
        <v/>
      </c>
      <c r="S5" t="str">
        <f t="shared" si="7"/>
        <v/>
      </c>
      <c r="T5" t="str">
        <f t="shared" si="8"/>
        <v/>
      </c>
      <c r="U5" t="str">
        <f t="shared" si="9"/>
        <v/>
      </c>
    </row>
    <row r="6" spans="1:21" x14ac:dyDescent="0.2">
      <c r="A6" t="s">
        <v>62</v>
      </c>
      <c r="B6" s="2">
        <v>0</v>
      </c>
      <c r="C6" s="2">
        <v>0</v>
      </c>
      <c r="D6" s="2">
        <v>0</v>
      </c>
      <c r="E6" s="2">
        <v>1.26050420168067E-2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>Q2</v>
      </c>
      <c r="P6" t="str">
        <f t="shared" si="4"/>
        <v/>
      </c>
      <c r="Q6" t="str">
        <f t="shared" si="5"/>
        <v/>
      </c>
      <c r="R6" t="str">
        <f t="shared" si="6"/>
        <v/>
      </c>
      <c r="S6" t="str">
        <f t="shared" si="7"/>
        <v/>
      </c>
      <c r="T6" t="str">
        <f t="shared" si="8"/>
        <v/>
      </c>
      <c r="U6" t="str">
        <f t="shared" si="9"/>
        <v/>
      </c>
    </row>
    <row r="7" spans="1:21" x14ac:dyDescent="0.2">
      <c r="A7" t="s">
        <v>63</v>
      </c>
      <c r="B7" s="2">
        <v>0</v>
      </c>
      <c r="C7" s="2">
        <v>0</v>
      </c>
      <c r="D7" s="2">
        <v>0.238095238095238</v>
      </c>
      <c r="E7" s="2">
        <v>8.4033613445378096E-3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t="str">
        <f t="shared" si="0"/>
        <v/>
      </c>
      <c r="M7" t="str">
        <f t="shared" si="1"/>
        <v/>
      </c>
      <c r="N7" t="str">
        <f t="shared" si="2"/>
        <v>Q2</v>
      </c>
      <c r="O7" t="str">
        <f t="shared" si="3"/>
        <v>Q3</v>
      </c>
      <c r="P7" t="str">
        <f t="shared" si="4"/>
        <v/>
      </c>
      <c r="Q7" t="str">
        <f t="shared" si="5"/>
        <v/>
      </c>
      <c r="R7" t="str">
        <f t="shared" si="6"/>
        <v/>
      </c>
      <c r="S7" t="str">
        <f t="shared" si="7"/>
        <v/>
      </c>
      <c r="T7" t="str">
        <f t="shared" si="8"/>
        <v/>
      </c>
      <c r="U7" t="str">
        <f t="shared" si="9"/>
        <v/>
      </c>
    </row>
    <row r="8" spans="1:21" x14ac:dyDescent="0.2">
      <c r="A8" t="s">
        <v>64</v>
      </c>
      <c r="B8" s="2">
        <v>0</v>
      </c>
      <c r="C8" s="2">
        <v>0.6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t="str">
        <f t="shared" si="0"/>
        <v/>
      </c>
      <c r="M8" t="str">
        <f t="shared" si="1"/>
        <v>Q1</v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</row>
    <row r="9" spans="1:21" x14ac:dyDescent="0.2">
      <c r="A9" t="s">
        <v>65</v>
      </c>
      <c r="B9" s="2">
        <v>0</v>
      </c>
      <c r="C9" s="2">
        <v>0</v>
      </c>
      <c r="D9" s="2">
        <v>0</v>
      </c>
      <c r="E9" s="2">
        <v>4.2016806722688996E-3</v>
      </c>
      <c r="F9" s="2">
        <v>3.8461538461538401E-2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t="str">
        <f t="shared" si="0"/>
        <v/>
      </c>
      <c r="M9" t="str">
        <f t="shared" si="1"/>
        <v/>
      </c>
      <c r="N9" t="str">
        <f t="shared" si="2"/>
        <v/>
      </c>
      <c r="O9" t="str">
        <f t="shared" si="3"/>
        <v>Q4</v>
      </c>
      <c r="P9" t="str">
        <f t="shared" si="4"/>
        <v>Q4</v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 t="str">
        <f t="shared" si="9"/>
        <v/>
      </c>
    </row>
    <row r="10" spans="1:21" x14ac:dyDescent="0.2">
      <c r="A10" t="s">
        <v>66</v>
      </c>
      <c r="B10" s="2">
        <v>0</v>
      </c>
      <c r="C10" s="2">
        <v>0</v>
      </c>
      <c r="D10" s="2">
        <v>0</v>
      </c>
      <c r="E10" s="2">
        <v>4.2016806722688996E-3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>Q4</v>
      </c>
      <c r="P10" t="str">
        <f t="shared" si="4"/>
        <v/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</row>
    <row r="11" spans="1:21" x14ac:dyDescent="0.2">
      <c r="A11" t="s">
        <v>67</v>
      </c>
      <c r="B11" s="2">
        <v>0</v>
      </c>
      <c r="C11" s="2">
        <v>0</v>
      </c>
      <c r="D11" s="2">
        <v>0</v>
      </c>
      <c r="E11" s="2">
        <v>8.4033613445378096E-3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t="str">
        <f t="shared" si="0"/>
        <v/>
      </c>
      <c r="M11" t="str">
        <f t="shared" si="1"/>
        <v/>
      </c>
      <c r="N11" t="str">
        <f t="shared" si="2"/>
        <v/>
      </c>
      <c r="O11" t="str">
        <f t="shared" si="3"/>
        <v>Q3</v>
      </c>
      <c r="P11" t="str">
        <f t="shared" si="4"/>
        <v/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</row>
    <row r="12" spans="1:21" x14ac:dyDescent="0.2">
      <c r="A12" t="s">
        <v>68</v>
      </c>
      <c r="B12" s="2">
        <v>0</v>
      </c>
      <c r="C12" s="2">
        <v>0</v>
      </c>
      <c r="D12" s="2">
        <v>0</v>
      </c>
      <c r="E12" s="2">
        <v>4.2016806722688996E-3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>Q4</v>
      </c>
      <c r="P12" t="str">
        <f t="shared" si="4"/>
        <v/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</row>
    <row r="13" spans="1:21" x14ac:dyDescent="0.2">
      <c r="A13" s="8" t="s">
        <v>69</v>
      </c>
      <c r="B13" s="2">
        <v>0</v>
      </c>
      <c r="C13" s="2">
        <v>0</v>
      </c>
      <c r="D13" s="2">
        <v>0</v>
      </c>
      <c r="E13" s="2">
        <v>5.0420168067226802E-2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>Q1</v>
      </c>
      <c r="P13" t="str">
        <f t="shared" si="4"/>
        <v/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</row>
    <row r="14" spans="1:21" x14ac:dyDescent="0.2">
      <c r="A14" s="8" t="s">
        <v>70</v>
      </c>
      <c r="B14" s="2">
        <v>0</v>
      </c>
      <c r="C14" s="2">
        <v>0</v>
      </c>
      <c r="D14" s="2">
        <v>0</v>
      </c>
      <c r="E14" s="2">
        <v>1.6806722689075598E-2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>Q2</v>
      </c>
      <c r="P14" t="str">
        <f t="shared" si="4"/>
        <v/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</row>
    <row r="15" spans="1:21" x14ac:dyDescent="0.2">
      <c r="A15" t="s">
        <v>71</v>
      </c>
      <c r="B15" s="2">
        <v>0</v>
      </c>
      <c r="C15" s="2">
        <v>0</v>
      </c>
      <c r="D15" s="2">
        <v>0</v>
      </c>
      <c r="E15" s="2">
        <v>1.26050420168067E-2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>Q2</v>
      </c>
      <c r="P15" t="str">
        <f t="shared" si="4"/>
        <v/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</row>
    <row r="16" spans="1:21" x14ac:dyDescent="0.2">
      <c r="A16" s="8" t="s">
        <v>72</v>
      </c>
      <c r="B16" s="2">
        <v>0.8</v>
      </c>
      <c r="C16" s="2">
        <v>0</v>
      </c>
      <c r="D16" s="2">
        <v>0.33333333333333298</v>
      </c>
      <c r="E16" s="2">
        <v>0.10084033613445301</v>
      </c>
      <c r="F16" s="2">
        <v>7.69230769230769E-2</v>
      </c>
      <c r="G16" s="2">
        <v>0</v>
      </c>
      <c r="H16" s="2">
        <v>0</v>
      </c>
      <c r="I16" s="2">
        <v>0</v>
      </c>
      <c r="J16" s="2">
        <v>4.6511627906976702E-2</v>
      </c>
      <c r="K16" s="2">
        <v>0</v>
      </c>
      <c r="L16" t="str">
        <f t="shared" si="0"/>
        <v>Q2</v>
      </c>
      <c r="M16" t="str">
        <f t="shared" si="1"/>
        <v/>
      </c>
      <c r="N16" t="str">
        <f t="shared" si="2"/>
        <v>Q1</v>
      </c>
      <c r="O16" t="str">
        <f t="shared" si="3"/>
        <v>Q1</v>
      </c>
      <c r="P16" t="str">
        <f t="shared" si="4"/>
        <v>Q2</v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>Q3</v>
      </c>
      <c r="U16" t="str">
        <f t="shared" si="9"/>
        <v/>
      </c>
    </row>
    <row r="17" spans="1:21" x14ac:dyDescent="0.2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0.232558139534883</v>
      </c>
      <c r="K17" s="2">
        <v>0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>Q1</v>
      </c>
      <c r="U17" t="str">
        <f t="shared" si="9"/>
        <v/>
      </c>
    </row>
    <row r="18" spans="1:21" x14ac:dyDescent="0.2">
      <c r="A18" s="8" t="s">
        <v>74</v>
      </c>
      <c r="B18" s="2">
        <v>0</v>
      </c>
      <c r="C18" s="2">
        <v>0</v>
      </c>
      <c r="D18" s="2">
        <v>0</v>
      </c>
      <c r="E18" s="2">
        <v>8.4033613445378096E-3</v>
      </c>
      <c r="F18" s="2">
        <v>0</v>
      </c>
      <c r="G18" s="2">
        <v>0</v>
      </c>
      <c r="H18" s="2">
        <v>0</v>
      </c>
      <c r="I18" s="2">
        <v>0</v>
      </c>
      <c r="J18" s="2">
        <v>0.13953488372093001</v>
      </c>
      <c r="K18" s="2">
        <v>0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>Q3</v>
      </c>
      <c r="P18" t="str">
        <f t="shared" si="4"/>
        <v/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>Q2</v>
      </c>
      <c r="U18" t="str">
        <f t="shared" si="9"/>
        <v/>
      </c>
    </row>
    <row r="19" spans="1:21" x14ac:dyDescent="0.2">
      <c r="A19" t="s">
        <v>75</v>
      </c>
      <c r="B19" s="2">
        <v>0</v>
      </c>
      <c r="C19" s="2">
        <v>0</v>
      </c>
      <c r="D19" s="2">
        <v>9.5238095238095205E-2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t="str">
        <f t="shared" si="0"/>
        <v/>
      </c>
      <c r="M19" t="str">
        <f t="shared" si="1"/>
        <v/>
      </c>
      <c r="N19" t="str">
        <f t="shared" si="2"/>
        <v>Q3</v>
      </c>
      <c r="O19" t="str">
        <f t="shared" si="3"/>
        <v/>
      </c>
      <c r="P19" t="str">
        <f t="shared" si="4"/>
        <v/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U19" t="str">
        <f t="shared" si="9"/>
        <v/>
      </c>
    </row>
    <row r="20" spans="1:21" x14ac:dyDescent="0.2">
      <c r="A20" s="8" t="s">
        <v>76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0.186046511627906</v>
      </c>
      <c r="K20" s="2">
        <v>0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>Q1</v>
      </c>
      <c r="U20" t="str">
        <f t="shared" si="9"/>
        <v/>
      </c>
    </row>
    <row r="21" spans="1:21" x14ac:dyDescent="0.2">
      <c r="A21" s="8" t="s">
        <v>77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6.9767441860465101E-2</v>
      </c>
      <c r="K21" s="2">
        <v>0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>Q2</v>
      </c>
      <c r="U21" t="str">
        <f t="shared" si="9"/>
        <v/>
      </c>
    </row>
    <row r="22" spans="1:21" x14ac:dyDescent="0.2">
      <c r="A22" t="s">
        <v>78</v>
      </c>
      <c r="B22" s="2">
        <v>0</v>
      </c>
      <c r="C22" s="2">
        <v>0</v>
      </c>
      <c r="D22" s="2">
        <v>0</v>
      </c>
      <c r="E22" s="2">
        <v>8.4033613445378096E-3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>Q3</v>
      </c>
      <c r="P22" t="str">
        <f t="shared" si="4"/>
        <v/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</row>
    <row r="23" spans="1:21" x14ac:dyDescent="0.2">
      <c r="A23" t="s">
        <v>79</v>
      </c>
      <c r="B23" s="2">
        <v>0.2</v>
      </c>
      <c r="C23" s="2">
        <v>0.2</v>
      </c>
      <c r="D23" s="2">
        <v>0</v>
      </c>
      <c r="E23" s="2">
        <v>4.2016806722688996E-3</v>
      </c>
      <c r="F23" s="2">
        <v>0</v>
      </c>
      <c r="G23" s="2">
        <v>0</v>
      </c>
      <c r="H23" s="2">
        <v>0.11111111111111099</v>
      </c>
      <c r="I23" s="2">
        <v>0</v>
      </c>
      <c r="J23" s="2">
        <v>0</v>
      </c>
      <c r="K23" s="2">
        <v>0</v>
      </c>
      <c r="L23" t="str">
        <f t="shared" si="0"/>
        <v>Q4</v>
      </c>
      <c r="M23" t="str">
        <f t="shared" si="1"/>
        <v>Q3</v>
      </c>
      <c r="N23" t="str">
        <f t="shared" si="2"/>
        <v/>
      </c>
      <c r="O23" t="str">
        <f t="shared" si="3"/>
        <v>Q4</v>
      </c>
      <c r="P23" t="str">
        <f t="shared" si="4"/>
        <v/>
      </c>
      <c r="Q23" t="str">
        <f t="shared" si="5"/>
        <v/>
      </c>
      <c r="R23" t="str">
        <f t="shared" si="6"/>
        <v>Q4</v>
      </c>
      <c r="S23" t="str">
        <f t="shared" si="7"/>
        <v/>
      </c>
      <c r="T23" t="str">
        <f t="shared" si="8"/>
        <v/>
      </c>
      <c r="U23" t="str">
        <f t="shared" si="9"/>
        <v/>
      </c>
    </row>
    <row r="24" spans="1:21" x14ac:dyDescent="0.2">
      <c r="A24" t="s">
        <v>80</v>
      </c>
      <c r="B24" s="2">
        <v>0</v>
      </c>
      <c r="C24" s="2">
        <v>0</v>
      </c>
      <c r="D24" s="2">
        <v>0</v>
      </c>
      <c r="E24" s="2">
        <v>2.5210084033613401E-2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>Q1</v>
      </c>
      <c r="P24" t="str">
        <f t="shared" si="4"/>
        <v/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</row>
    <row r="25" spans="1:21" x14ac:dyDescent="0.2">
      <c r="A25" t="s">
        <v>81</v>
      </c>
      <c r="B25" s="2">
        <v>0</v>
      </c>
      <c r="C25" s="2">
        <v>0</v>
      </c>
      <c r="D25" s="2">
        <v>0</v>
      </c>
      <c r="E25" s="2">
        <v>4.2016806722689003E-2</v>
      </c>
      <c r="F25" s="2">
        <v>0.115384615384615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>Q1</v>
      </c>
      <c r="P25" t="str">
        <f t="shared" si="4"/>
        <v>Q2</v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</row>
    <row r="26" spans="1:21" x14ac:dyDescent="0.2">
      <c r="A26" t="s">
        <v>82</v>
      </c>
      <c r="B26" s="2">
        <v>0</v>
      </c>
      <c r="C26" s="2">
        <v>0</v>
      </c>
      <c r="D26" s="2">
        <v>0</v>
      </c>
      <c r="E26" s="2">
        <v>1.26050420168067E-2</v>
      </c>
      <c r="F26" s="2">
        <v>3.8461538461538401E-2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>Q2</v>
      </c>
      <c r="P26" t="str">
        <f t="shared" si="4"/>
        <v>Q4</v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</row>
    <row r="27" spans="1:21" x14ac:dyDescent="0.2">
      <c r="A27" t="s">
        <v>83</v>
      </c>
      <c r="B27" s="2">
        <v>0</v>
      </c>
      <c r="C27" s="2">
        <v>0</v>
      </c>
      <c r="D27" s="2">
        <v>0</v>
      </c>
      <c r="E27" s="2">
        <v>1.6806722689075598E-2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>Q2</v>
      </c>
      <c r="P27" t="str">
        <f t="shared" si="4"/>
        <v/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</row>
    <row r="28" spans="1:21" x14ac:dyDescent="0.2">
      <c r="A28" t="s">
        <v>84</v>
      </c>
      <c r="B28" s="2">
        <v>0</v>
      </c>
      <c r="C28" s="2">
        <v>0</v>
      </c>
      <c r="D28" s="2">
        <v>0</v>
      </c>
      <c r="E28" s="2">
        <v>8.4033613445378096E-3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>Q3</v>
      </c>
      <c r="P28" t="str">
        <f t="shared" si="4"/>
        <v/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</row>
    <row r="29" spans="1:21" x14ac:dyDescent="0.2">
      <c r="A29" t="s">
        <v>85</v>
      </c>
      <c r="B29" s="2">
        <v>0</v>
      </c>
      <c r="C29" s="2">
        <v>0</v>
      </c>
      <c r="D29" s="2">
        <v>0.14285714285714199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t="str">
        <f t="shared" si="0"/>
        <v/>
      </c>
      <c r="M29" t="str">
        <f t="shared" si="1"/>
        <v/>
      </c>
      <c r="N29" t="str">
        <f t="shared" si="2"/>
        <v>Q3</v>
      </c>
      <c r="O29" t="str">
        <f t="shared" si="3"/>
        <v/>
      </c>
      <c r="P29" t="str">
        <f t="shared" si="4"/>
        <v/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</row>
    <row r="30" spans="1:21" x14ac:dyDescent="0.2">
      <c r="A30" t="s">
        <v>86</v>
      </c>
      <c r="B30" s="2">
        <v>0</v>
      </c>
      <c r="C30" s="2">
        <v>0</v>
      </c>
      <c r="D30" s="2">
        <v>0</v>
      </c>
      <c r="E30" s="2">
        <v>4.2016806722688996E-3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>Q4</v>
      </c>
      <c r="P30" t="str">
        <f t="shared" si="4"/>
        <v/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</row>
    <row r="31" spans="1:21" x14ac:dyDescent="0.2">
      <c r="A31" t="s">
        <v>87</v>
      </c>
      <c r="B31" s="2">
        <v>0</v>
      </c>
      <c r="C31" s="2">
        <v>0</v>
      </c>
      <c r="D31" s="2">
        <v>0</v>
      </c>
      <c r="E31" s="2">
        <v>1.26050420168067E-2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>Q2</v>
      </c>
      <c r="P31" t="str">
        <f t="shared" si="4"/>
        <v/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</row>
    <row r="32" spans="1:21" x14ac:dyDescent="0.2">
      <c r="A32" s="8" t="s">
        <v>88</v>
      </c>
      <c r="B32" s="2">
        <v>0</v>
      </c>
      <c r="C32" s="2">
        <v>0</v>
      </c>
      <c r="D32" s="2">
        <v>0</v>
      </c>
      <c r="E32" s="2">
        <v>3.3613445378151197E-2</v>
      </c>
      <c r="F32" s="2">
        <v>0</v>
      </c>
      <c r="G32" s="2">
        <v>0</v>
      </c>
      <c r="H32" s="2">
        <v>0</v>
      </c>
      <c r="I32" s="2">
        <v>0</v>
      </c>
      <c r="J32" s="2">
        <v>0.62790697674418605</v>
      </c>
      <c r="K32" s="2">
        <v>0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>Q1</v>
      </c>
      <c r="P32" t="str">
        <f t="shared" si="4"/>
        <v/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>Q1</v>
      </c>
      <c r="U32" t="str">
        <f t="shared" si="9"/>
        <v/>
      </c>
    </row>
    <row r="33" spans="1:21" x14ac:dyDescent="0.2">
      <c r="A33" s="8" t="s">
        <v>89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9.3023255813953404E-2</v>
      </c>
      <c r="K33" s="2">
        <v>0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>Q2</v>
      </c>
      <c r="U33" t="str">
        <f t="shared" si="9"/>
        <v/>
      </c>
    </row>
    <row r="34" spans="1:21" x14ac:dyDescent="0.2">
      <c r="A34" t="s">
        <v>90</v>
      </c>
      <c r="B34" s="2">
        <v>0</v>
      </c>
      <c r="C34" s="2">
        <v>0</v>
      </c>
      <c r="D34" s="2">
        <v>0</v>
      </c>
      <c r="E34" s="2">
        <v>1.26050420168067E-2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>Q2</v>
      </c>
      <c r="P34" t="str">
        <f t="shared" si="4"/>
        <v/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</row>
    <row r="35" spans="1:21" x14ac:dyDescent="0.2">
      <c r="A35" t="s">
        <v>91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0.17647058823529399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>Q2</v>
      </c>
    </row>
    <row r="36" spans="1:21" x14ac:dyDescent="0.2">
      <c r="A36" t="s">
        <v>92</v>
      </c>
      <c r="B36" s="2">
        <v>0</v>
      </c>
      <c r="C36" s="2">
        <v>0</v>
      </c>
      <c r="D36" s="2">
        <v>0</v>
      </c>
      <c r="E36" s="2">
        <v>3.7815126050420103E-2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t="str">
        <f t="shared" si="0"/>
        <v/>
      </c>
      <c r="M36" t="str">
        <f t="shared" si="1"/>
        <v/>
      </c>
      <c r="N36" t="str">
        <f t="shared" si="2"/>
        <v/>
      </c>
      <c r="O36" t="str">
        <f t="shared" si="3"/>
        <v>Q1</v>
      </c>
      <c r="P36" t="str">
        <f t="shared" si="4"/>
        <v/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</row>
    <row r="37" spans="1:21" x14ac:dyDescent="0.2">
      <c r="A37" t="s">
        <v>93</v>
      </c>
      <c r="B37" s="2">
        <v>0</v>
      </c>
      <c r="C37" s="2">
        <v>0</v>
      </c>
      <c r="D37" s="2">
        <v>0</v>
      </c>
      <c r="E37" s="2">
        <v>1.26050420168067E-2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>Q2</v>
      </c>
      <c r="P37" t="str">
        <f t="shared" si="4"/>
        <v/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</row>
    <row r="38" spans="1:21" x14ac:dyDescent="0.2">
      <c r="A38" s="8" t="s">
        <v>94</v>
      </c>
      <c r="B38" s="2">
        <v>0</v>
      </c>
      <c r="C38" s="2">
        <v>0</v>
      </c>
      <c r="D38" s="2">
        <v>0.19047619047618999</v>
      </c>
      <c r="E38" s="2">
        <v>1.6806722689075598E-2</v>
      </c>
      <c r="F38" s="2">
        <v>0</v>
      </c>
      <c r="G38" s="2">
        <v>0</v>
      </c>
      <c r="H38" s="2">
        <v>0</v>
      </c>
      <c r="I38" s="2">
        <v>0</v>
      </c>
      <c r="J38" s="2">
        <v>0.16279069767441801</v>
      </c>
      <c r="K38" s="2">
        <v>0</v>
      </c>
      <c r="L38" t="str">
        <f t="shared" si="0"/>
        <v/>
      </c>
      <c r="M38" t="str">
        <f t="shared" si="1"/>
        <v/>
      </c>
      <c r="N38" t="str">
        <f t="shared" si="2"/>
        <v>Q2</v>
      </c>
      <c r="O38" t="str">
        <f t="shared" si="3"/>
        <v>Q2</v>
      </c>
      <c r="P38" t="str">
        <f t="shared" si="4"/>
        <v/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>Q1</v>
      </c>
      <c r="U38" t="str">
        <f t="shared" si="9"/>
        <v/>
      </c>
    </row>
    <row r="39" spans="1:21" x14ac:dyDescent="0.2">
      <c r="A39" t="s">
        <v>95</v>
      </c>
      <c r="B39" s="2">
        <v>0</v>
      </c>
      <c r="C39" s="2">
        <v>0</v>
      </c>
      <c r="D39" s="2">
        <v>0</v>
      </c>
      <c r="E39" s="2">
        <v>1.26050420168067E-2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t="str">
        <f t="shared" si="0"/>
        <v/>
      </c>
      <c r="M39" t="str">
        <f t="shared" si="1"/>
        <v/>
      </c>
      <c r="N39" t="str">
        <f t="shared" si="2"/>
        <v/>
      </c>
      <c r="O39" t="str">
        <f t="shared" si="3"/>
        <v>Q2</v>
      </c>
      <c r="P39" t="str">
        <f t="shared" si="4"/>
        <v/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</row>
    <row r="40" spans="1:21" x14ac:dyDescent="0.2">
      <c r="A40" s="8" t="s">
        <v>96</v>
      </c>
      <c r="B40" s="2">
        <v>0</v>
      </c>
      <c r="C40" s="2">
        <v>0</v>
      </c>
      <c r="D40" s="2">
        <v>0</v>
      </c>
      <c r="E40" s="2">
        <v>1.26050420168067E-2</v>
      </c>
      <c r="F40" s="2">
        <v>0</v>
      </c>
      <c r="G40" s="2">
        <v>0</v>
      </c>
      <c r="H40" s="2">
        <v>0</v>
      </c>
      <c r="I40" s="2">
        <v>0</v>
      </c>
      <c r="J40" s="2">
        <v>4.6511627906976702E-2</v>
      </c>
      <c r="K40" s="2">
        <v>0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>Q2</v>
      </c>
      <c r="P40" t="str">
        <f t="shared" si="4"/>
        <v/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>Q3</v>
      </c>
      <c r="U40" t="str">
        <f t="shared" si="9"/>
        <v/>
      </c>
    </row>
    <row r="41" spans="1:21" x14ac:dyDescent="0.2">
      <c r="A41" t="s">
        <v>97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0.22222222222222199</v>
      </c>
      <c r="I41" s="2">
        <v>0</v>
      </c>
      <c r="J41" s="2">
        <v>0</v>
      </c>
      <c r="K41" s="2">
        <v>0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  <c r="R41" t="str">
        <f t="shared" si="6"/>
        <v>Q3</v>
      </c>
      <c r="S41" t="str">
        <f t="shared" si="7"/>
        <v/>
      </c>
      <c r="T41" t="str">
        <f t="shared" si="8"/>
        <v/>
      </c>
      <c r="U41" t="str">
        <f t="shared" si="9"/>
        <v/>
      </c>
    </row>
    <row r="42" spans="1:21" x14ac:dyDescent="0.2">
      <c r="A42" t="s">
        <v>98</v>
      </c>
      <c r="B42" s="2">
        <v>0</v>
      </c>
      <c r="C42" s="2">
        <v>0</v>
      </c>
      <c r="D42" s="2">
        <v>0</v>
      </c>
      <c r="E42" s="2">
        <v>8.4033613445378096E-3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>Q3</v>
      </c>
      <c r="P42" t="str">
        <f t="shared" si="4"/>
        <v/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</row>
    <row r="43" spans="1:21" x14ac:dyDescent="0.2">
      <c r="A43" t="s">
        <v>99</v>
      </c>
      <c r="B43" s="2">
        <v>0</v>
      </c>
      <c r="C43" s="2">
        <v>0</v>
      </c>
      <c r="D43" s="2">
        <v>0</v>
      </c>
      <c r="E43" s="2">
        <v>0</v>
      </c>
      <c r="F43" s="2">
        <v>0.115384615384615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t="str">
        <f t="shared" si="0"/>
        <v/>
      </c>
      <c r="M43" t="str">
        <f t="shared" si="1"/>
        <v/>
      </c>
      <c r="N43" t="str">
        <f t="shared" si="2"/>
        <v/>
      </c>
      <c r="O43" t="str">
        <f t="shared" si="3"/>
        <v/>
      </c>
      <c r="P43" t="str">
        <f t="shared" si="4"/>
        <v>Q2</v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</row>
    <row r="44" spans="1:21" x14ac:dyDescent="0.2">
      <c r="A44" t="s">
        <v>100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4.6511627906976702E-2</v>
      </c>
      <c r="K44" s="2">
        <v>0.58823529411764697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>Q3</v>
      </c>
      <c r="U44" t="str">
        <f t="shared" si="9"/>
        <v>Q1</v>
      </c>
    </row>
    <row r="45" spans="1:21" x14ac:dyDescent="0.2">
      <c r="A45" t="s">
        <v>101</v>
      </c>
      <c r="B45" s="2">
        <v>0</v>
      </c>
      <c r="C45" s="2">
        <v>0</v>
      </c>
      <c r="D45" s="2">
        <v>0.14285714285714199</v>
      </c>
      <c r="E45" s="2">
        <v>0.214285714285714</v>
      </c>
      <c r="F45" s="2">
        <v>3.8461538461538401E-2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t="str">
        <f t="shared" si="0"/>
        <v/>
      </c>
      <c r="M45" t="str">
        <f t="shared" si="1"/>
        <v/>
      </c>
      <c r="N45" t="str">
        <f t="shared" si="2"/>
        <v>Q3</v>
      </c>
      <c r="O45" t="str">
        <f t="shared" si="3"/>
        <v>Q1</v>
      </c>
      <c r="P45" t="str">
        <f t="shared" si="4"/>
        <v>Q4</v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</row>
    <row r="46" spans="1:21" x14ac:dyDescent="0.2">
      <c r="A46" t="s">
        <v>102</v>
      </c>
      <c r="B46" s="2">
        <v>0</v>
      </c>
      <c r="C46" s="2">
        <v>0</v>
      </c>
      <c r="D46" s="2">
        <v>0</v>
      </c>
      <c r="E46" s="2">
        <v>0</v>
      </c>
      <c r="F46" s="2">
        <v>7.69230769230769E-2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>Q2</v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</row>
    <row r="47" spans="1:21" x14ac:dyDescent="0.2">
      <c r="A47" t="s">
        <v>103</v>
      </c>
      <c r="B47" s="2">
        <v>0</v>
      </c>
      <c r="C47" s="2">
        <v>0</v>
      </c>
      <c r="D47" s="2">
        <v>0</v>
      </c>
      <c r="E47" s="2">
        <v>8.4033613445378096E-3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>Q3</v>
      </c>
      <c r="P47" t="str">
        <f t="shared" si="4"/>
        <v/>
      </c>
      <c r="Q47" t="str">
        <f t="shared" si="5"/>
        <v/>
      </c>
      <c r="R47" t="str">
        <f t="shared" si="6"/>
        <v/>
      </c>
      <c r="S47" t="str">
        <f t="shared" si="7"/>
        <v/>
      </c>
      <c r="T47" t="str">
        <f t="shared" si="8"/>
        <v/>
      </c>
      <c r="U47" t="str">
        <f t="shared" si="9"/>
        <v/>
      </c>
    </row>
    <row r="48" spans="1:21" x14ac:dyDescent="0.2">
      <c r="A48" t="s">
        <v>104</v>
      </c>
      <c r="B48" s="2">
        <v>0</v>
      </c>
      <c r="C48" s="2">
        <v>0</v>
      </c>
      <c r="D48" s="2">
        <v>0</v>
      </c>
      <c r="E48" s="2">
        <v>0</v>
      </c>
      <c r="F48" s="2">
        <v>0.115384615384615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>Q2</v>
      </c>
      <c r="Q48" t="str">
        <f t="shared" si="5"/>
        <v/>
      </c>
      <c r="R48" t="str">
        <f t="shared" si="6"/>
        <v/>
      </c>
      <c r="S48" t="str">
        <f t="shared" si="7"/>
        <v/>
      </c>
      <c r="T48" t="str">
        <f t="shared" si="8"/>
        <v/>
      </c>
      <c r="U48" t="str">
        <f t="shared" si="9"/>
        <v/>
      </c>
    </row>
    <row r="49" spans="1:21" x14ac:dyDescent="0.2">
      <c r="A49" t="s">
        <v>105</v>
      </c>
      <c r="B49" s="2">
        <v>0</v>
      </c>
      <c r="C49" s="2">
        <v>0</v>
      </c>
      <c r="D49" s="2">
        <v>0</v>
      </c>
      <c r="E49" s="2">
        <v>4.2016806722688996E-3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>Q4</v>
      </c>
      <c r="P49" t="str">
        <f t="shared" si="4"/>
        <v/>
      </c>
      <c r="Q49" t="str">
        <f t="shared" si="5"/>
        <v/>
      </c>
      <c r="R49" t="str">
        <f t="shared" si="6"/>
        <v/>
      </c>
      <c r="S49" t="str">
        <f t="shared" si="7"/>
        <v/>
      </c>
      <c r="T49" t="str">
        <f t="shared" si="8"/>
        <v/>
      </c>
      <c r="U49" t="str">
        <f t="shared" si="9"/>
        <v/>
      </c>
    </row>
    <row r="50" spans="1:21" x14ac:dyDescent="0.2">
      <c r="A50" t="s">
        <v>106</v>
      </c>
      <c r="B50" s="2">
        <v>0</v>
      </c>
      <c r="C50" s="2">
        <v>0</v>
      </c>
      <c r="D50" s="2">
        <v>0</v>
      </c>
      <c r="E50" s="2">
        <v>1.6806722689075598E-2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>Q2</v>
      </c>
      <c r="P50" t="str">
        <f t="shared" si="4"/>
        <v/>
      </c>
      <c r="Q50" t="str">
        <f t="shared" si="5"/>
        <v/>
      </c>
      <c r="R50" t="str">
        <f t="shared" si="6"/>
        <v/>
      </c>
      <c r="S50" t="str">
        <f t="shared" si="7"/>
        <v/>
      </c>
      <c r="T50" t="str">
        <f t="shared" si="8"/>
        <v/>
      </c>
      <c r="U50" t="str">
        <f t="shared" si="9"/>
        <v/>
      </c>
    </row>
    <row r="51" spans="1:21" x14ac:dyDescent="0.2">
      <c r="A51" s="8" t="s">
        <v>107</v>
      </c>
      <c r="B51" s="2">
        <v>0</v>
      </c>
      <c r="C51" s="2">
        <v>0</v>
      </c>
      <c r="D51" s="2">
        <v>0</v>
      </c>
      <c r="E51" s="2">
        <v>2.1008403361344501E-2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>Q2</v>
      </c>
      <c r="P51" t="str">
        <f t="shared" si="4"/>
        <v/>
      </c>
      <c r="Q51" t="str">
        <f t="shared" si="5"/>
        <v/>
      </c>
      <c r="R51" t="str">
        <f t="shared" si="6"/>
        <v/>
      </c>
      <c r="S51" t="str">
        <f t="shared" si="7"/>
        <v/>
      </c>
      <c r="T51" t="str">
        <f t="shared" si="8"/>
        <v/>
      </c>
      <c r="U51" t="str">
        <f t="shared" si="9"/>
        <v/>
      </c>
    </row>
    <row r="52" spans="1:21" x14ac:dyDescent="0.2">
      <c r="A52" t="s">
        <v>108</v>
      </c>
      <c r="B52" s="2">
        <v>0</v>
      </c>
      <c r="C52" s="2">
        <v>0</v>
      </c>
      <c r="D52" s="2">
        <v>0</v>
      </c>
      <c r="E52" s="2">
        <v>1.26050420168067E-2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t="str">
        <f t="shared" si="0"/>
        <v/>
      </c>
      <c r="M52" t="str">
        <f t="shared" si="1"/>
        <v/>
      </c>
      <c r="N52" t="str">
        <f t="shared" si="2"/>
        <v/>
      </c>
      <c r="O52" t="str">
        <f t="shared" si="3"/>
        <v>Q2</v>
      </c>
      <c r="P52" t="str">
        <f t="shared" si="4"/>
        <v/>
      </c>
      <c r="Q52" t="str">
        <f t="shared" si="5"/>
        <v/>
      </c>
      <c r="R52" t="str">
        <f t="shared" si="6"/>
        <v/>
      </c>
      <c r="S52" t="str">
        <f t="shared" si="7"/>
        <v/>
      </c>
      <c r="T52" t="str">
        <f t="shared" si="8"/>
        <v/>
      </c>
      <c r="U52" t="str">
        <f t="shared" si="9"/>
        <v/>
      </c>
    </row>
    <row r="53" spans="1:21" x14ac:dyDescent="0.2">
      <c r="A53" t="s">
        <v>109</v>
      </c>
      <c r="B53" s="2">
        <v>0</v>
      </c>
      <c r="C53" s="2">
        <v>0</v>
      </c>
      <c r="D53" s="2">
        <v>0</v>
      </c>
      <c r="E53" s="2">
        <v>0</v>
      </c>
      <c r="F53" s="2">
        <v>7.69230769230769E-2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t="str">
        <f t="shared" si="0"/>
        <v/>
      </c>
      <c r="M53" t="str">
        <f t="shared" si="1"/>
        <v/>
      </c>
      <c r="N53" t="str">
        <f t="shared" si="2"/>
        <v/>
      </c>
      <c r="O53" t="str">
        <f t="shared" si="3"/>
        <v/>
      </c>
      <c r="P53" t="str">
        <f t="shared" si="4"/>
        <v>Q2</v>
      </c>
      <c r="Q53" t="str">
        <f t="shared" si="5"/>
        <v/>
      </c>
      <c r="R53" t="str">
        <f t="shared" si="6"/>
        <v/>
      </c>
      <c r="S53" t="str">
        <f t="shared" si="7"/>
        <v/>
      </c>
      <c r="T53" t="str">
        <f t="shared" si="8"/>
        <v/>
      </c>
      <c r="U53" t="str">
        <f t="shared" si="9"/>
        <v/>
      </c>
    </row>
    <row r="54" spans="1:21" x14ac:dyDescent="0.2">
      <c r="A54" t="s">
        <v>110</v>
      </c>
      <c r="B54" s="2">
        <v>0</v>
      </c>
      <c r="C54" s="2">
        <v>0</v>
      </c>
      <c r="D54" s="2">
        <v>0</v>
      </c>
      <c r="E54" s="2">
        <v>8.4033613445378096E-3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t="str">
        <f t="shared" si="0"/>
        <v/>
      </c>
      <c r="M54" t="str">
        <f t="shared" si="1"/>
        <v/>
      </c>
      <c r="N54" t="str">
        <f t="shared" si="2"/>
        <v/>
      </c>
      <c r="O54" t="str">
        <f t="shared" si="3"/>
        <v>Q3</v>
      </c>
      <c r="P54" t="str">
        <f t="shared" si="4"/>
        <v/>
      </c>
      <c r="Q54" t="str">
        <f t="shared" si="5"/>
        <v/>
      </c>
      <c r="R54" t="str">
        <f t="shared" si="6"/>
        <v/>
      </c>
      <c r="S54" t="str">
        <f t="shared" si="7"/>
        <v/>
      </c>
      <c r="T54" t="str">
        <f t="shared" si="8"/>
        <v/>
      </c>
      <c r="U54" t="str">
        <f t="shared" si="9"/>
        <v/>
      </c>
    </row>
    <row r="55" spans="1:21" x14ac:dyDescent="0.2">
      <c r="A55" s="8" t="s">
        <v>111</v>
      </c>
      <c r="B55" s="2">
        <v>0</v>
      </c>
      <c r="C55" s="2">
        <v>0</v>
      </c>
      <c r="D55" s="2">
        <v>0</v>
      </c>
      <c r="E55" s="2">
        <v>4.2016806722688996E-3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t="str">
        <f t="shared" si="0"/>
        <v/>
      </c>
      <c r="M55" t="str">
        <f t="shared" si="1"/>
        <v/>
      </c>
      <c r="N55" t="str">
        <f t="shared" si="2"/>
        <v/>
      </c>
      <c r="O55" t="str">
        <f t="shared" si="3"/>
        <v>Q4</v>
      </c>
      <c r="P55" t="str">
        <f t="shared" si="4"/>
        <v/>
      </c>
      <c r="Q55" t="str">
        <f t="shared" si="5"/>
        <v/>
      </c>
      <c r="R55" t="str">
        <f t="shared" si="6"/>
        <v/>
      </c>
      <c r="S55" t="str">
        <f t="shared" si="7"/>
        <v/>
      </c>
      <c r="T55" t="str">
        <f t="shared" si="8"/>
        <v/>
      </c>
      <c r="U55" t="str">
        <f t="shared" si="9"/>
        <v/>
      </c>
    </row>
    <row r="56" spans="1:21" x14ac:dyDescent="0.2">
      <c r="A56" t="s">
        <v>112</v>
      </c>
      <c r="B56" s="2">
        <v>0</v>
      </c>
      <c r="C56" s="2">
        <v>0</v>
      </c>
      <c r="D56" s="2">
        <v>0</v>
      </c>
      <c r="E56" s="2">
        <v>8.4033613445378096E-3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t="str">
        <f t="shared" si="0"/>
        <v/>
      </c>
      <c r="M56" t="str">
        <f t="shared" si="1"/>
        <v/>
      </c>
      <c r="N56" t="str">
        <f t="shared" si="2"/>
        <v/>
      </c>
      <c r="O56" t="str">
        <f t="shared" si="3"/>
        <v>Q3</v>
      </c>
      <c r="P56" t="str">
        <f t="shared" si="4"/>
        <v/>
      </c>
      <c r="Q56" t="str">
        <f t="shared" si="5"/>
        <v/>
      </c>
      <c r="R56" t="str">
        <f t="shared" si="6"/>
        <v/>
      </c>
      <c r="S56" t="str">
        <f t="shared" si="7"/>
        <v/>
      </c>
      <c r="T56" t="str">
        <f t="shared" si="8"/>
        <v/>
      </c>
      <c r="U56" t="str">
        <f t="shared" si="9"/>
        <v/>
      </c>
    </row>
    <row r="57" spans="1:21" x14ac:dyDescent="0.2">
      <c r="A57" t="s">
        <v>113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1.29411764705882</v>
      </c>
      <c r="L57" t="str">
        <f t="shared" si="0"/>
        <v/>
      </c>
      <c r="M57" t="str">
        <f t="shared" si="1"/>
        <v/>
      </c>
      <c r="N57" t="str">
        <f t="shared" si="2"/>
        <v/>
      </c>
      <c r="O57" t="str">
        <f t="shared" si="3"/>
        <v/>
      </c>
      <c r="P57" t="str">
        <f t="shared" si="4"/>
        <v/>
      </c>
      <c r="Q57" t="str">
        <f t="shared" si="5"/>
        <v/>
      </c>
      <c r="R57" t="str">
        <f t="shared" si="6"/>
        <v/>
      </c>
      <c r="S57" t="str">
        <f t="shared" si="7"/>
        <v/>
      </c>
      <c r="T57" t="str">
        <f t="shared" si="8"/>
        <v/>
      </c>
      <c r="U57" t="str">
        <f t="shared" si="9"/>
        <v>Q1</v>
      </c>
    </row>
    <row r="58" spans="1:21" x14ac:dyDescent="0.2">
      <c r="A58" t="s">
        <v>114</v>
      </c>
      <c r="B58" s="2">
        <v>0</v>
      </c>
      <c r="C58" s="2">
        <v>0</v>
      </c>
      <c r="D58" s="2">
        <v>0</v>
      </c>
      <c r="E58" s="2">
        <v>8.4033613445378096E-3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t="str">
        <f t="shared" si="0"/>
        <v/>
      </c>
      <c r="M58" t="str">
        <f t="shared" si="1"/>
        <v/>
      </c>
      <c r="N58" t="str">
        <f t="shared" si="2"/>
        <v/>
      </c>
      <c r="O58" t="str">
        <f t="shared" si="3"/>
        <v>Q3</v>
      </c>
      <c r="P58" t="str">
        <f t="shared" si="4"/>
        <v/>
      </c>
      <c r="Q58" t="str">
        <f t="shared" si="5"/>
        <v/>
      </c>
      <c r="R58" t="str">
        <f t="shared" si="6"/>
        <v/>
      </c>
      <c r="S58" t="str">
        <f t="shared" si="7"/>
        <v/>
      </c>
      <c r="T58" t="str">
        <f t="shared" si="8"/>
        <v/>
      </c>
      <c r="U58" t="str">
        <f t="shared" si="9"/>
        <v/>
      </c>
    </row>
    <row r="59" spans="1:21" x14ac:dyDescent="0.2">
      <c r="A59" t="s">
        <v>115</v>
      </c>
      <c r="B59" s="2">
        <v>0</v>
      </c>
      <c r="C59" s="2">
        <v>0</v>
      </c>
      <c r="D59" s="2">
        <v>0</v>
      </c>
      <c r="E59" s="2">
        <v>1.26050420168067E-2</v>
      </c>
      <c r="F59" s="2">
        <v>0</v>
      </c>
      <c r="G59" s="2">
        <v>0</v>
      </c>
      <c r="H59" s="2">
        <v>0.11111111111111099</v>
      </c>
      <c r="I59" s="2">
        <v>0</v>
      </c>
      <c r="J59" s="2">
        <v>0</v>
      </c>
      <c r="K59" s="2">
        <v>0</v>
      </c>
      <c r="L59" t="str">
        <f t="shared" si="0"/>
        <v/>
      </c>
      <c r="M59" t="str">
        <f t="shared" si="1"/>
        <v/>
      </c>
      <c r="N59" t="str">
        <f t="shared" si="2"/>
        <v/>
      </c>
      <c r="O59" t="str">
        <f t="shared" si="3"/>
        <v>Q2</v>
      </c>
      <c r="P59" t="str">
        <f t="shared" si="4"/>
        <v/>
      </c>
      <c r="Q59" t="str">
        <f t="shared" si="5"/>
        <v/>
      </c>
      <c r="R59" t="str">
        <f t="shared" si="6"/>
        <v>Q4</v>
      </c>
      <c r="S59" t="str">
        <f t="shared" si="7"/>
        <v/>
      </c>
      <c r="T59" t="str">
        <f t="shared" si="8"/>
        <v/>
      </c>
      <c r="U59" t="str">
        <f t="shared" si="9"/>
        <v/>
      </c>
    </row>
    <row r="60" spans="1:21" x14ac:dyDescent="0.2">
      <c r="A60" t="s">
        <v>116</v>
      </c>
      <c r="B60" s="2">
        <v>0</v>
      </c>
      <c r="C60" s="2">
        <v>0</v>
      </c>
      <c r="D60" s="2">
        <v>0</v>
      </c>
      <c r="E60" s="2">
        <v>1.26050420168067E-2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t="str">
        <f t="shared" si="0"/>
        <v/>
      </c>
      <c r="M60" t="str">
        <f t="shared" si="1"/>
        <v/>
      </c>
      <c r="N60" t="str">
        <f t="shared" si="2"/>
        <v/>
      </c>
      <c r="O60" t="str">
        <f t="shared" si="3"/>
        <v>Q2</v>
      </c>
      <c r="P60" t="str">
        <f t="shared" si="4"/>
        <v/>
      </c>
      <c r="Q60" t="str">
        <f t="shared" si="5"/>
        <v/>
      </c>
      <c r="R60" t="str">
        <f t="shared" si="6"/>
        <v/>
      </c>
      <c r="S60" t="str">
        <f t="shared" si="7"/>
        <v/>
      </c>
      <c r="T60" t="str">
        <f t="shared" si="8"/>
        <v/>
      </c>
      <c r="U60" t="str">
        <f t="shared" si="9"/>
        <v/>
      </c>
    </row>
    <row r="61" spans="1:21" x14ac:dyDescent="0.2">
      <c r="A61" t="s">
        <v>117</v>
      </c>
      <c r="B61" s="2">
        <v>0</v>
      </c>
      <c r="C61" s="2">
        <v>0</v>
      </c>
      <c r="D61" s="2">
        <v>0</v>
      </c>
      <c r="E61" s="2">
        <v>4.2016806722688996E-3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t="str">
        <f t="shared" si="0"/>
        <v/>
      </c>
      <c r="M61" t="str">
        <f t="shared" si="1"/>
        <v/>
      </c>
      <c r="N61" t="str">
        <f t="shared" si="2"/>
        <v/>
      </c>
      <c r="O61" t="str">
        <f t="shared" si="3"/>
        <v>Q4</v>
      </c>
      <c r="P61" t="str">
        <f t="shared" si="4"/>
        <v/>
      </c>
      <c r="Q61" t="str">
        <f t="shared" si="5"/>
        <v/>
      </c>
      <c r="R61" t="str">
        <f t="shared" si="6"/>
        <v/>
      </c>
      <c r="S61" t="str">
        <f t="shared" si="7"/>
        <v/>
      </c>
      <c r="T61" t="str">
        <f t="shared" si="8"/>
        <v/>
      </c>
      <c r="U61" t="str">
        <f t="shared" si="9"/>
        <v/>
      </c>
    </row>
    <row r="62" spans="1:21" x14ac:dyDescent="0.2">
      <c r="A62" t="s">
        <v>118</v>
      </c>
      <c r="B62" s="2">
        <v>0</v>
      </c>
      <c r="C62" s="2">
        <v>0</v>
      </c>
      <c r="D62" s="2">
        <v>0</v>
      </c>
      <c r="E62" s="2">
        <v>4.2016806722688996E-3</v>
      </c>
      <c r="F62" s="2">
        <v>3.8461538461538401E-2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t="str">
        <f t="shared" si="0"/>
        <v/>
      </c>
      <c r="M62" t="str">
        <f t="shared" si="1"/>
        <v/>
      </c>
      <c r="N62" t="str">
        <f t="shared" si="2"/>
        <v/>
      </c>
      <c r="O62" t="str">
        <f t="shared" si="3"/>
        <v>Q4</v>
      </c>
      <c r="P62" t="str">
        <f t="shared" si="4"/>
        <v>Q4</v>
      </c>
      <c r="Q62" t="str">
        <f t="shared" si="5"/>
        <v/>
      </c>
      <c r="R62" t="str">
        <f t="shared" si="6"/>
        <v/>
      </c>
      <c r="S62" t="str">
        <f t="shared" si="7"/>
        <v/>
      </c>
      <c r="T62" t="str">
        <f t="shared" si="8"/>
        <v/>
      </c>
      <c r="U62" t="str">
        <f t="shared" si="9"/>
        <v/>
      </c>
    </row>
    <row r="63" spans="1:21" x14ac:dyDescent="0.2">
      <c r="A63" t="s">
        <v>119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0.44444444444444398</v>
      </c>
      <c r="I63" s="2">
        <v>0</v>
      </c>
      <c r="J63" s="2">
        <v>0</v>
      </c>
      <c r="K63" s="2">
        <v>0</v>
      </c>
      <c r="L63" t="str">
        <f t="shared" si="0"/>
        <v/>
      </c>
      <c r="M63" t="str">
        <f t="shared" si="1"/>
        <v/>
      </c>
      <c r="N63" t="str">
        <f t="shared" si="2"/>
        <v/>
      </c>
      <c r="O63" t="str">
        <f t="shared" si="3"/>
        <v/>
      </c>
      <c r="P63" t="str">
        <f t="shared" si="4"/>
        <v/>
      </c>
      <c r="Q63" t="str">
        <f t="shared" si="5"/>
        <v/>
      </c>
      <c r="R63" t="str">
        <f t="shared" si="6"/>
        <v>Q1</v>
      </c>
      <c r="S63" t="str">
        <f t="shared" si="7"/>
        <v/>
      </c>
      <c r="T63" t="str">
        <f t="shared" si="8"/>
        <v/>
      </c>
      <c r="U63" t="str">
        <f t="shared" si="9"/>
        <v/>
      </c>
    </row>
    <row r="64" spans="1:21" x14ac:dyDescent="0.2">
      <c r="A64" t="s">
        <v>120</v>
      </c>
      <c r="B64" s="2">
        <v>0</v>
      </c>
      <c r="C64" s="2">
        <v>0</v>
      </c>
      <c r="D64" s="2">
        <v>0</v>
      </c>
      <c r="E64" s="2">
        <v>6.7226890756302504E-2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t="str">
        <f t="shared" si="0"/>
        <v/>
      </c>
      <c r="M64" t="str">
        <f t="shared" si="1"/>
        <v/>
      </c>
      <c r="N64" t="str">
        <f t="shared" si="2"/>
        <v/>
      </c>
      <c r="O64" t="str">
        <f t="shared" si="3"/>
        <v>Q1</v>
      </c>
      <c r="P64" t="str">
        <f t="shared" si="4"/>
        <v/>
      </c>
      <c r="Q64" t="str">
        <f t="shared" si="5"/>
        <v/>
      </c>
      <c r="R64" t="str">
        <f t="shared" si="6"/>
        <v/>
      </c>
      <c r="S64" t="str">
        <f t="shared" si="7"/>
        <v/>
      </c>
      <c r="T64" t="str">
        <f t="shared" si="8"/>
        <v/>
      </c>
      <c r="U64" t="str">
        <f t="shared" si="9"/>
        <v/>
      </c>
    </row>
    <row r="65" spans="1:21" x14ac:dyDescent="0.2">
      <c r="A65" t="s">
        <v>121</v>
      </c>
      <c r="B65" s="2">
        <v>0</v>
      </c>
      <c r="C65" s="2">
        <v>0.3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t="str">
        <f t="shared" si="0"/>
        <v/>
      </c>
      <c r="M65" t="str">
        <f t="shared" si="1"/>
        <v>Q2</v>
      </c>
      <c r="N65" t="str">
        <f t="shared" si="2"/>
        <v/>
      </c>
      <c r="O65" t="str">
        <f t="shared" si="3"/>
        <v/>
      </c>
      <c r="P65" t="str">
        <f t="shared" si="4"/>
        <v/>
      </c>
      <c r="Q65" t="str">
        <f t="shared" si="5"/>
        <v/>
      </c>
      <c r="R65" t="str">
        <f t="shared" si="6"/>
        <v/>
      </c>
      <c r="S65" t="str">
        <f t="shared" si="7"/>
        <v/>
      </c>
      <c r="T65" t="str">
        <f t="shared" si="8"/>
        <v/>
      </c>
      <c r="U65" t="str">
        <f t="shared" si="9"/>
        <v/>
      </c>
    </row>
    <row r="66" spans="1:21" x14ac:dyDescent="0.2">
      <c r="A66" t="s">
        <v>122</v>
      </c>
      <c r="B66" s="2">
        <v>0</v>
      </c>
      <c r="C66" s="2">
        <v>0</v>
      </c>
      <c r="D66" s="2">
        <v>0</v>
      </c>
      <c r="E66" s="2">
        <v>8.4033613445378096E-3</v>
      </c>
      <c r="F66" s="2">
        <v>0</v>
      </c>
      <c r="G66" s="2">
        <v>0</v>
      </c>
      <c r="H66" s="2">
        <v>0</v>
      </c>
      <c r="I66" s="2">
        <v>0</v>
      </c>
      <c r="J66" s="2">
        <v>0.13953488372093001</v>
      </c>
      <c r="K66" s="2">
        <v>0</v>
      </c>
      <c r="L66" t="str">
        <f t="shared" si="0"/>
        <v/>
      </c>
      <c r="M66" t="str">
        <f t="shared" si="1"/>
        <v/>
      </c>
      <c r="N66" t="str">
        <f t="shared" si="2"/>
        <v/>
      </c>
      <c r="O66" t="str">
        <f t="shared" si="3"/>
        <v>Q3</v>
      </c>
      <c r="P66" t="str">
        <f t="shared" si="4"/>
        <v/>
      </c>
      <c r="Q66" t="str">
        <f t="shared" si="5"/>
        <v/>
      </c>
      <c r="R66" t="str">
        <f t="shared" si="6"/>
        <v/>
      </c>
      <c r="S66" t="str">
        <f t="shared" si="7"/>
        <v/>
      </c>
      <c r="T66" t="str">
        <f t="shared" si="8"/>
        <v>Q2</v>
      </c>
      <c r="U66" t="str">
        <f t="shared" si="9"/>
        <v/>
      </c>
    </row>
    <row r="67" spans="1:21" x14ac:dyDescent="0.2">
      <c r="A67" t="s">
        <v>123</v>
      </c>
      <c r="B67" s="2">
        <v>0</v>
      </c>
      <c r="C67" s="2">
        <v>0</v>
      </c>
      <c r="D67" s="2">
        <v>0.19047619047618999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t="str">
        <f t="shared" ref="L67:L130" si="10">IF(B67=0,"","Q"&amp;INT(4*( RANK(B67, IF($B$2:$B$300&lt;&gt;0, $B$2:$B$300), 0) - 1 ) / COUNTIF($B$2:$B$300,"&gt;0")) + 1)</f>
        <v/>
      </c>
      <c r="M67" t="str">
        <f t="shared" ref="M67:M130" si="11">IF(C67=0,"","Q"&amp;INT(4*( RANK(C67, IF($C$2:$C$300&lt;&gt;0, $C$2:$C$300), 0) - 1 ) / COUNTIF($C$2:$C$300,"&gt;0")) + 1)</f>
        <v/>
      </c>
      <c r="N67" t="str">
        <f t="shared" ref="N67:N130" si="12">IF(D67=0,"","Q"&amp;INT(4*( RANK(D67, IF($D$2:$D$300&lt;&gt;0, $D$2:$D$300), 0) - 1 ) / COUNTIF($D$2:$D$300,"&gt;0")) + 1)</f>
        <v>Q2</v>
      </c>
      <c r="O67" t="str">
        <f t="shared" ref="O67:O130" si="13">IF(E67=0,"","Q"&amp;INT(4*( RANK(E67, IF($E$2:$E$300&lt;&gt;0, $E$2:$E$300), 0) - 1 ) / COUNTIF($E$2:$E$300,"&gt;0")) + 1)</f>
        <v/>
      </c>
      <c r="P67" t="str">
        <f t="shared" ref="P67:P130" si="14">IF(F67=0,"","Q"&amp;INT(4*( RANK(F67, IF($F$2:$F$300&lt;&gt;0, $F$2:$F$300), 0) - 1 ) / COUNTIF($F$2:$F$300,"&gt;0")) + 1)</f>
        <v/>
      </c>
      <c r="Q67" t="str">
        <f t="shared" ref="Q67:Q130" si="15">IF(G67=0,"","Q"&amp;INT(4*( RANK(G67, IF($G$2:$G$300&lt;&gt;0, $G$2:$G$300), 0) - 1 ) / COUNTIF($G$2:$G$300,"&gt;0")) + 1)</f>
        <v/>
      </c>
      <c r="R67" t="str">
        <f t="shared" ref="R67:R130" si="16">IF(H67=0,"","Q"&amp;INT(4*( RANK(H67, IF($H$2:$H$300&lt;&gt;0, $H$2:$H$300), 0) - 1 ) / COUNTIF($H$2:$H$300,"&gt;0")) + 1)</f>
        <v/>
      </c>
      <c r="S67" t="str">
        <f t="shared" ref="S67:S130" si="17">IF(I67=0,"","Q"&amp;INT(4*( RANK(I67, IF($I$2:$I$300&lt;&gt;0, $I$2:$I$300), 0) - 1 ) / COUNTIF($I$2:$I$300,"&gt;0")) + 1)</f>
        <v/>
      </c>
      <c r="T67" t="str">
        <f t="shared" ref="T67:T130" si="18">IF(J67=0,"","Q"&amp;INT(4*( RANK(J67, IF($J$2:$J$300&lt;&gt;0, $J$2:$J$300), 0) - 1 ) / COUNTIF($J$2:$J$300,"&gt;0")) + 1)</f>
        <v/>
      </c>
      <c r="U67" t="str">
        <f t="shared" ref="U67:U130" si="19">IF(K67=0,"","Q"&amp;INT(4*( RANK(K67, IF($K$2:$K$300&lt;&gt;0, $K$2:$K$300), 0) - 1 ) / COUNTIF($K$2:$K$300,"&gt;0")) + 1)</f>
        <v/>
      </c>
    </row>
    <row r="68" spans="1:21" x14ac:dyDescent="0.2">
      <c r="A68" t="s">
        <v>124</v>
      </c>
      <c r="B68" s="2">
        <v>0</v>
      </c>
      <c r="C68" s="2">
        <v>0</v>
      </c>
      <c r="D68" s="2">
        <v>0</v>
      </c>
      <c r="E68" s="2">
        <v>8.4033613445378096E-3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si="13"/>
        <v>Q3</v>
      </c>
      <c r="P68" t="str">
        <f t="shared" si="14"/>
        <v/>
      </c>
      <c r="Q68" t="str">
        <f t="shared" si="15"/>
        <v/>
      </c>
      <c r="R68" t="str">
        <f t="shared" si="16"/>
        <v/>
      </c>
      <c r="S68" t="str">
        <f t="shared" si="17"/>
        <v/>
      </c>
      <c r="T68" t="str">
        <f t="shared" si="18"/>
        <v/>
      </c>
      <c r="U68" t="str">
        <f t="shared" si="19"/>
        <v/>
      </c>
    </row>
    <row r="69" spans="1:21" x14ac:dyDescent="0.2">
      <c r="A69" t="s">
        <v>125</v>
      </c>
      <c r="B69" s="2">
        <v>0.4</v>
      </c>
      <c r="C69" s="2">
        <v>0</v>
      </c>
      <c r="D69" s="2">
        <v>0</v>
      </c>
      <c r="E69" s="2">
        <v>1.6806722689075598E-2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t="str">
        <f t="shared" si="10"/>
        <v>Q4</v>
      </c>
      <c r="M69" t="str">
        <f t="shared" si="11"/>
        <v/>
      </c>
      <c r="N69" t="str">
        <f t="shared" si="12"/>
        <v/>
      </c>
      <c r="O69" t="str">
        <f t="shared" si="13"/>
        <v>Q2</v>
      </c>
      <c r="P69" t="str">
        <f t="shared" si="14"/>
        <v/>
      </c>
      <c r="Q69" t="str">
        <f t="shared" si="15"/>
        <v/>
      </c>
      <c r="R69" t="str">
        <f t="shared" si="16"/>
        <v/>
      </c>
      <c r="S69" t="str">
        <f t="shared" si="17"/>
        <v/>
      </c>
      <c r="T69" t="str">
        <f t="shared" si="18"/>
        <v/>
      </c>
      <c r="U69" t="str">
        <f t="shared" si="19"/>
        <v/>
      </c>
    </row>
    <row r="70" spans="1:21" x14ac:dyDescent="0.2">
      <c r="A70" t="s">
        <v>126</v>
      </c>
      <c r="B70" s="2">
        <v>0</v>
      </c>
      <c r="C70" s="2">
        <v>0</v>
      </c>
      <c r="D70" s="2">
        <v>0</v>
      </c>
      <c r="E70" s="2">
        <v>2.5210084033613401E-2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t="str">
        <f t="shared" si="10"/>
        <v/>
      </c>
      <c r="M70" t="str">
        <f t="shared" si="11"/>
        <v/>
      </c>
      <c r="N70" t="str">
        <f t="shared" si="12"/>
        <v/>
      </c>
      <c r="O70" t="str">
        <f t="shared" si="13"/>
        <v>Q1</v>
      </c>
      <c r="P70" t="str">
        <f t="shared" si="14"/>
        <v/>
      </c>
      <c r="Q70" t="str">
        <f t="shared" si="15"/>
        <v/>
      </c>
      <c r="R70" t="str">
        <f t="shared" si="16"/>
        <v/>
      </c>
      <c r="S70" t="str">
        <f t="shared" si="17"/>
        <v/>
      </c>
      <c r="T70" t="str">
        <f t="shared" si="18"/>
        <v/>
      </c>
      <c r="U70" t="str">
        <f t="shared" si="19"/>
        <v/>
      </c>
    </row>
    <row r="71" spans="1:21" x14ac:dyDescent="0.2">
      <c r="A71" t="s">
        <v>127</v>
      </c>
      <c r="B71" s="2">
        <v>0</v>
      </c>
      <c r="C71" s="2">
        <v>0</v>
      </c>
      <c r="D71" s="2">
        <v>0</v>
      </c>
      <c r="E71" s="2">
        <v>1.6806722689075598E-2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si="13"/>
        <v>Q2</v>
      </c>
      <c r="P71" t="str">
        <f t="shared" si="14"/>
        <v/>
      </c>
      <c r="Q71" t="str">
        <f t="shared" si="15"/>
        <v/>
      </c>
      <c r="R71" t="str">
        <f t="shared" si="16"/>
        <v/>
      </c>
      <c r="S71" t="str">
        <f t="shared" si="17"/>
        <v/>
      </c>
      <c r="T71" t="str">
        <f t="shared" si="18"/>
        <v/>
      </c>
      <c r="U71" t="str">
        <f t="shared" si="19"/>
        <v/>
      </c>
    </row>
    <row r="72" spans="1:21" x14ac:dyDescent="0.2">
      <c r="A72" s="8" t="s">
        <v>128</v>
      </c>
      <c r="B72" s="2">
        <v>1.2</v>
      </c>
      <c r="C72" s="2">
        <v>0.3</v>
      </c>
      <c r="D72" s="2">
        <v>0</v>
      </c>
      <c r="E72" s="2">
        <v>0.130252100840336</v>
      </c>
      <c r="F72" s="2">
        <v>0.38461538461538403</v>
      </c>
      <c r="G72" s="2">
        <v>0</v>
      </c>
      <c r="H72" s="2">
        <v>0</v>
      </c>
      <c r="I72" s="2">
        <v>0</v>
      </c>
      <c r="J72" s="2">
        <v>9.3023255813953404E-2</v>
      </c>
      <c r="K72" s="2">
        <v>0</v>
      </c>
      <c r="L72" t="str">
        <f t="shared" si="10"/>
        <v>Q1</v>
      </c>
      <c r="M72" t="str">
        <f t="shared" si="11"/>
        <v>Q2</v>
      </c>
      <c r="N72" t="str">
        <f t="shared" si="12"/>
        <v/>
      </c>
      <c r="O72" t="str">
        <f t="shared" si="13"/>
        <v>Q1</v>
      </c>
      <c r="P72" t="str">
        <f t="shared" si="14"/>
        <v>Q1</v>
      </c>
      <c r="Q72" t="str">
        <f t="shared" si="15"/>
        <v/>
      </c>
      <c r="R72" t="str">
        <f t="shared" si="16"/>
        <v/>
      </c>
      <c r="S72" t="str">
        <f t="shared" si="17"/>
        <v/>
      </c>
      <c r="T72" t="str">
        <f t="shared" si="18"/>
        <v>Q2</v>
      </c>
      <c r="U72" t="str">
        <f t="shared" si="19"/>
        <v/>
      </c>
    </row>
    <row r="73" spans="1:21" x14ac:dyDescent="0.2">
      <c r="A73" t="s">
        <v>129</v>
      </c>
      <c r="B73" s="2">
        <v>0</v>
      </c>
      <c r="C73" s="2">
        <v>0</v>
      </c>
      <c r="D73" s="2">
        <v>9.5238095238095205E-2</v>
      </c>
      <c r="E73" s="2">
        <v>8.4033613445378096E-3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t="str">
        <f t="shared" si="10"/>
        <v/>
      </c>
      <c r="M73" t="str">
        <f t="shared" si="11"/>
        <v/>
      </c>
      <c r="N73" t="str">
        <f t="shared" si="12"/>
        <v>Q3</v>
      </c>
      <c r="O73" t="str">
        <f t="shared" si="13"/>
        <v>Q3</v>
      </c>
      <c r="P73" t="str">
        <f t="shared" si="14"/>
        <v/>
      </c>
      <c r="Q73" t="str">
        <f t="shared" si="15"/>
        <v/>
      </c>
      <c r="R73" t="str">
        <f t="shared" si="16"/>
        <v/>
      </c>
      <c r="S73" t="str">
        <f t="shared" si="17"/>
        <v/>
      </c>
      <c r="T73" t="str">
        <f t="shared" si="18"/>
        <v/>
      </c>
      <c r="U73" t="str">
        <f t="shared" si="19"/>
        <v/>
      </c>
    </row>
    <row r="74" spans="1:21" x14ac:dyDescent="0.2">
      <c r="A74" s="8" t="s">
        <v>130</v>
      </c>
      <c r="B74" s="2">
        <v>0</v>
      </c>
      <c r="C74" s="2">
        <v>0.3</v>
      </c>
      <c r="D74" s="2">
        <v>0.33333333333333298</v>
      </c>
      <c r="E74" s="2">
        <v>8.8235294117646995E-2</v>
      </c>
      <c r="F74" s="2">
        <v>7.69230769230769E-2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t="str">
        <f t="shared" si="10"/>
        <v/>
      </c>
      <c r="M74" t="str">
        <f t="shared" si="11"/>
        <v>Q2</v>
      </c>
      <c r="N74" t="str">
        <f t="shared" si="12"/>
        <v>Q1</v>
      </c>
      <c r="O74" t="str">
        <f t="shared" si="13"/>
        <v>Q1</v>
      </c>
      <c r="P74" t="str">
        <f t="shared" si="14"/>
        <v>Q2</v>
      </c>
      <c r="Q74" t="str">
        <f t="shared" si="15"/>
        <v/>
      </c>
      <c r="R74" t="str">
        <f t="shared" si="16"/>
        <v/>
      </c>
      <c r="S74" t="str">
        <f t="shared" si="17"/>
        <v/>
      </c>
      <c r="T74" t="str">
        <f t="shared" si="18"/>
        <v/>
      </c>
      <c r="U74" t="str">
        <f t="shared" si="19"/>
        <v/>
      </c>
    </row>
    <row r="75" spans="1:21" x14ac:dyDescent="0.2">
      <c r="A75" t="s">
        <v>131</v>
      </c>
      <c r="B75" s="2">
        <v>0</v>
      </c>
      <c r="C75" s="2">
        <v>0</v>
      </c>
      <c r="D75" s="2">
        <v>0.14285714285714199</v>
      </c>
      <c r="E75" s="2">
        <v>5.4621848739495799E-2</v>
      </c>
      <c r="F75" s="2">
        <v>0.269230769230769</v>
      </c>
      <c r="G75" s="2">
        <v>0</v>
      </c>
      <c r="H75" s="2">
        <v>0.44444444444444398</v>
      </c>
      <c r="I75" s="2">
        <v>0</v>
      </c>
      <c r="J75" s="2">
        <v>0</v>
      </c>
      <c r="K75" s="2">
        <v>0</v>
      </c>
      <c r="L75" t="str">
        <f t="shared" si="10"/>
        <v/>
      </c>
      <c r="M75" t="str">
        <f t="shared" si="11"/>
        <v/>
      </c>
      <c r="N75" t="str">
        <f t="shared" si="12"/>
        <v>Q3</v>
      </c>
      <c r="O75" t="str">
        <f t="shared" si="13"/>
        <v>Q1</v>
      </c>
      <c r="P75" t="str">
        <f t="shared" si="14"/>
        <v>Q1</v>
      </c>
      <c r="Q75" t="str">
        <f t="shared" si="15"/>
        <v/>
      </c>
      <c r="R75" t="str">
        <f t="shared" si="16"/>
        <v>Q1</v>
      </c>
      <c r="S75" t="str">
        <f t="shared" si="17"/>
        <v/>
      </c>
      <c r="T75" t="str">
        <f t="shared" si="18"/>
        <v/>
      </c>
      <c r="U75" t="str">
        <f t="shared" si="19"/>
        <v/>
      </c>
    </row>
    <row r="76" spans="1:21" x14ac:dyDescent="0.2">
      <c r="A76" s="8" t="s">
        <v>132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4.6511627906976702E-2</v>
      </c>
      <c r="K76" s="2">
        <v>0</v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 t="str">
        <f t="shared" si="14"/>
        <v/>
      </c>
      <c r="Q76" t="str">
        <f t="shared" si="15"/>
        <v/>
      </c>
      <c r="R76" t="str">
        <f t="shared" si="16"/>
        <v/>
      </c>
      <c r="S76" t="str">
        <f t="shared" si="17"/>
        <v/>
      </c>
      <c r="T76" t="str">
        <f t="shared" si="18"/>
        <v>Q3</v>
      </c>
      <c r="U76" t="str">
        <f t="shared" si="19"/>
        <v/>
      </c>
    </row>
    <row r="77" spans="1:21" x14ac:dyDescent="0.2">
      <c r="A77" s="8" t="s">
        <v>133</v>
      </c>
      <c r="B77" s="2">
        <v>0</v>
      </c>
      <c r="C77" s="2">
        <v>0</v>
      </c>
      <c r="D77" s="2">
        <v>0</v>
      </c>
      <c r="E77" s="2">
        <v>1.26050420168067E-2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>Q2</v>
      </c>
      <c r="P77" t="str">
        <f t="shared" si="14"/>
        <v/>
      </c>
      <c r="Q77" t="str">
        <f t="shared" si="15"/>
        <v/>
      </c>
      <c r="R77" t="str">
        <f t="shared" si="16"/>
        <v/>
      </c>
      <c r="S77" t="str">
        <f t="shared" si="17"/>
        <v/>
      </c>
      <c r="T77" t="str">
        <f t="shared" si="18"/>
        <v/>
      </c>
      <c r="U77" t="str">
        <f t="shared" si="19"/>
        <v/>
      </c>
    </row>
    <row r="78" spans="1:21" x14ac:dyDescent="0.2">
      <c r="A78" t="s">
        <v>134</v>
      </c>
      <c r="B78" s="2">
        <v>0</v>
      </c>
      <c r="C78" s="2">
        <v>0</v>
      </c>
      <c r="D78" s="2">
        <v>0</v>
      </c>
      <c r="E78" s="2">
        <v>8.4033613445378096E-3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>Q3</v>
      </c>
      <c r="P78" t="str">
        <f t="shared" si="14"/>
        <v/>
      </c>
      <c r="Q78" t="str">
        <f t="shared" si="15"/>
        <v/>
      </c>
      <c r="R78" t="str">
        <f t="shared" si="16"/>
        <v/>
      </c>
      <c r="S78" t="str">
        <f t="shared" si="17"/>
        <v/>
      </c>
      <c r="T78" t="str">
        <f t="shared" si="18"/>
        <v/>
      </c>
      <c r="U78" t="str">
        <f t="shared" si="19"/>
        <v/>
      </c>
    </row>
    <row r="79" spans="1:21" x14ac:dyDescent="0.2">
      <c r="A79" s="8" t="s">
        <v>135</v>
      </c>
      <c r="B79" s="2">
        <v>0</v>
      </c>
      <c r="C79" s="2">
        <v>0</v>
      </c>
      <c r="D79" s="2">
        <v>0</v>
      </c>
      <c r="E79" s="2">
        <v>4.2016806722688996E-3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>Q4</v>
      </c>
      <c r="P79" t="str">
        <f t="shared" si="14"/>
        <v/>
      </c>
      <c r="Q79" t="str">
        <f t="shared" si="15"/>
        <v/>
      </c>
      <c r="R79" t="str">
        <f t="shared" si="16"/>
        <v/>
      </c>
      <c r="S79" t="str">
        <f t="shared" si="17"/>
        <v/>
      </c>
      <c r="T79" t="str">
        <f t="shared" si="18"/>
        <v/>
      </c>
      <c r="U79" t="str">
        <f t="shared" si="19"/>
        <v/>
      </c>
    </row>
    <row r="80" spans="1:21" x14ac:dyDescent="0.2">
      <c r="A80" s="8" t="s">
        <v>136</v>
      </c>
      <c r="B80" s="2">
        <v>0</v>
      </c>
      <c r="C80" s="2">
        <v>0</v>
      </c>
      <c r="D80" s="2">
        <v>0</v>
      </c>
      <c r="E80" s="2">
        <v>2.5210084033613401E-2</v>
      </c>
      <c r="F80" s="2">
        <v>0.115384615384615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>Q1</v>
      </c>
      <c r="P80" t="str">
        <f t="shared" si="14"/>
        <v>Q2</v>
      </c>
      <c r="Q80" t="str">
        <f t="shared" si="15"/>
        <v/>
      </c>
      <c r="R80" t="str">
        <f t="shared" si="16"/>
        <v/>
      </c>
      <c r="S80" t="str">
        <f t="shared" si="17"/>
        <v/>
      </c>
      <c r="T80" t="str">
        <f t="shared" si="18"/>
        <v/>
      </c>
      <c r="U80" t="str">
        <f t="shared" si="19"/>
        <v/>
      </c>
    </row>
    <row r="81" spans="1:21" x14ac:dyDescent="0.2">
      <c r="A81" s="8" t="s">
        <v>137</v>
      </c>
      <c r="B81" s="2">
        <v>0</v>
      </c>
      <c r="C81" s="2">
        <v>0</v>
      </c>
      <c r="D81" s="2">
        <v>0</v>
      </c>
      <c r="E81" s="2">
        <v>8.4033613445378096E-3</v>
      </c>
      <c r="F81" s="2">
        <v>0</v>
      </c>
      <c r="G81" s="2">
        <v>0</v>
      </c>
      <c r="H81" s="2">
        <v>0</v>
      </c>
      <c r="I81" s="2">
        <v>0</v>
      </c>
      <c r="J81" s="2">
        <v>9.3023255813953404E-2</v>
      </c>
      <c r="K81" s="2">
        <v>0</v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>Q3</v>
      </c>
      <c r="P81" t="str">
        <f t="shared" si="14"/>
        <v/>
      </c>
      <c r="Q81" t="str">
        <f t="shared" si="15"/>
        <v/>
      </c>
      <c r="R81" t="str">
        <f t="shared" si="16"/>
        <v/>
      </c>
      <c r="S81" t="str">
        <f t="shared" si="17"/>
        <v/>
      </c>
      <c r="T81" t="str">
        <f t="shared" si="18"/>
        <v>Q2</v>
      </c>
      <c r="U81" t="str">
        <f t="shared" si="19"/>
        <v/>
      </c>
    </row>
    <row r="82" spans="1:21" x14ac:dyDescent="0.2">
      <c r="A82" s="8" t="s">
        <v>138</v>
      </c>
      <c r="B82" s="2">
        <v>0</v>
      </c>
      <c r="C82" s="2">
        <v>0</v>
      </c>
      <c r="D82" s="2">
        <v>0</v>
      </c>
      <c r="E82" s="2">
        <v>1.26050420168067E-2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>Q2</v>
      </c>
      <c r="P82" t="str">
        <f t="shared" si="14"/>
        <v/>
      </c>
      <c r="Q82" t="str">
        <f t="shared" si="15"/>
        <v/>
      </c>
      <c r="R82" t="str">
        <f t="shared" si="16"/>
        <v/>
      </c>
      <c r="S82" t="str">
        <f t="shared" si="17"/>
        <v/>
      </c>
      <c r="T82" t="str">
        <f t="shared" si="18"/>
        <v/>
      </c>
      <c r="U82" t="str">
        <f t="shared" si="19"/>
        <v/>
      </c>
    </row>
    <row r="83" spans="1:21" x14ac:dyDescent="0.2">
      <c r="A83" t="s">
        <v>139</v>
      </c>
      <c r="B83" s="2">
        <v>0</v>
      </c>
      <c r="C83" s="2">
        <v>0</v>
      </c>
      <c r="D83" s="2">
        <v>0</v>
      </c>
      <c r="E83" s="2">
        <v>2.5210084033613401E-2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>Q1</v>
      </c>
      <c r="P83" t="str">
        <f t="shared" si="14"/>
        <v/>
      </c>
      <c r="Q83" t="str">
        <f t="shared" si="15"/>
        <v/>
      </c>
      <c r="R83" t="str">
        <f t="shared" si="16"/>
        <v/>
      </c>
      <c r="S83" t="str">
        <f t="shared" si="17"/>
        <v/>
      </c>
      <c r="T83" t="str">
        <f t="shared" si="18"/>
        <v/>
      </c>
      <c r="U83" t="str">
        <f t="shared" si="19"/>
        <v/>
      </c>
    </row>
    <row r="84" spans="1:21" x14ac:dyDescent="0.2">
      <c r="A84" t="s">
        <v>140</v>
      </c>
      <c r="B84" s="2">
        <v>0</v>
      </c>
      <c r="C84" s="2">
        <v>0</v>
      </c>
      <c r="D84" s="2">
        <v>0</v>
      </c>
      <c r="E84" s="2">
        <v>2.5210084033613401E-2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>Q1</v>
      </c>
      <c r="P84" t="str">
        <f t="shared" si="14"/>
        <v/>
      </c>
      <c r="Q84" t="str">
        <f t="shared" si="15"/>
        <v/>
      </c>
      <c r="R84" t="str">
        <f t="shared" si="16"/>
        <v/>
      </c>
      <c r="S84" t="str">
        <f t="shared" si="17"/>
        <v/>
      </c>
      <c r="T84" t="str">
        <f t="shared" si="18"/>
        <v/>
      </c>
      <c r="U84" t="str">
        <f t="shared" si="19"/>
        <v/>
      </c>
    </row>
    <row r="85" spans="1:21" x14ac:dyDescent="0.2">
      <c r="A85" t="s">
        <v>141</v>
      </c>
      <c r="B85" s="2">
        <v>0</v>
      </c>
      <c r="C85" s="2">
        <v>0</v>
      </c>
      <c r="D85" s="2">
        <v>0</v>
      </c>
      <c r="E85" s="2">
        <v>1.26050420168067E-2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>Q2</v>
      </c>
      <c r="P85" t="str">
        <f t="shared" si="14"/>
        <v/>
      </c>
      <c r="Q85" t="str">
        <f t="shared" si="15"/>
        <v/>
      </c>
      <c r="R85" t="str">
        <f t="shared" si="16"/>
        <v/>
      </c>
      <c r="S85" t="str">
        <f t="shared" si="17"/>
        <v/>
      </c>
      <c r="T85" t="str">
        <f t="shared" si="18"/>
        <v/>
      </c>
      <c r="U85" t="str">
        <f t="shared" si="19"/>
        <v/>
      </c>
    </row>
    <row r="86" spans="1:21" x14ac:dyDescent="0.2">
      <c r="A86" s="8" t="s">
        <v>142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0.372093023255813</v>
      </c>
      <c r="K86" s="2">
        <v>0</v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 t="str">
        <f t="shared" si="14"/>
        <v/>
      </c>
      <c r="Q86" t="str">
        <f t="shared" si="15"/>
        <v/>
      </c>
      <c r="R86" t="str">
        <f t="shared" si="16"/>
        <v/>
      </c>
      <c r="S86" t="str">
        <f t="shared" si="17"/>
        <v/>
      </c>
      <c r="T86" t="str">
        <f t="shared" si="18"/>
        <v>Q1</v>
      </c>
      <c r="U86" t="str">
        <f t="shared" si="19"/>
        <v/>
      </c>
    </row>
    <row r="87" spans="1:21" x14ac:dyDescent="0.2">
      <c r="A87" t="s">
        <v>143</v>
      </c>
      <c r="B87" s="2">
        <v>0</v>
      </c>
      <c r="C87" s="2">
        <v>0</v>
      </c>
      <c r="D87" s="2">
        <v>0</v>
      </c>
      <c r="E87" s="2">
        <v>1.6806722689075598E-2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>Q2</v>
      </c>
      <c r="P87" t="str">
        <f t="shared" si="14"/>
        <v/>
      </c>
      <c r="Q87" t="str">
        <f t="shared" si="15"/>
        <v/>
      </c>
      <c r="R87" t="str">
        <f t="shared" si="16"/>
        <v/>
      </c>
      <c r="S87" t="str">
        <f t="shared" si="17"/>
        <v/>
      </c>
      <c r="T87" t="str">
        <f t="shared" si="18"/>
        <v/>
      </c>
      <c r="U87" t="str">
        <f t="shared" si="19"/>
        <v/>
      </c>
    </row>
    <row r="88" spans="1:21" x14ac:dyDescent="0.2">
      <c r="A88" t="s">
        <v>144</v>
      </c>
      <c r="B88" s="2">
        <v>0</v>
      </c>
      <c r="C88" s="2">
        <v>0.3</v>
      </c>
      <c r="D88" s="2">
        <v>0</v>
      </c>
      <c r="E88" s="2">
        <v>2.5210084033613401E-2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t="str">
        <f t="shared" si="10"/>
        <v/>
      </c>
      <c r="M88" t="str">
        <f t="shared" si="11"/>
        <v>Q2</v>
      </c>
      <c r="N88" t="str">
        <f t="shared" si="12"/>
        <v/>
      </c>
      <c r="O88" t="str">
        <f t="shared" si="13"/>
        <v>Q1</v>
      </c>
      <c r="P88" t="str">
        <f t="shared" si="14"/>
        <v/>
      </c>
      <c r="Q88" t="str">
        <f t="shared" si="15"/>
        <v/>
      </c>
      <c r="R88" t="str">
        <f t="shared" si="16"/>
        <v/>
      </c>
      <c r="S88" t="str">
        <f t="shared" si="17"/>
        <v/>
      </c>
      <c r="T88" t="str">
        <f t="shared" si="18"/>
        <v/>
      </c>
      <c r="U88" t="str">
        <f t="shared" si="19"/>
        <v/>
      </c>
    </row>
    <row r="89" spans="1:21" x14ac:dyDescent="0.2">
      <c r="A89" t="s">
        <v>145</v>
      </c>
      <c r="B89" s="2">
        <v>0</v>
      </c>
      <c r="C89" s="2">
        <v>0</v>
      </c>
      <c r="D89" s="2">
        <v>0</v>
      </c>
      <c r="E89" s="2">
        <v>1.26050420168067E-2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>Q2</v>
      </c>
      <c r="P89" t="str">
        <f t="shared" si="14"/>
        <v/>
      </c>
      <c r="Q89" t="str">
        <f t="shared" si="15"/>
        <v/>
      </c>
      <c r="R89" t="str">
        <f t="shared" si="16"/>
        <v/>
      </c>
      <c r="S89" t="str">
        <f t="shared" si="17"/>
        <v/>
      </c>
      <c r="T89" t="str">
        <f t="shared" si="18"/>
        <v/>
      </c>
      <c r="U89" t="str">
        <f t="shared" si="19"/>
        <v/>
      </c>
    </row>
    <row r="90" spans="1:21" x14ac:dyDescent="0.2">
      <c r="A90" t="s">
        <v>146</v>
      </c>
      <c r="B90" s="2">
        <v>0</v>
      </c>
      <c r="C90" s="2">
        <v>0</v>
      </c>
      <c r="D90" s="2">
        <v>0</v>
      </c>
      <c r="E90" s="2">
        <v>8.4033613445378096E-3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>Q3</v>
      </c>
      <c r="P90" t="str">
        <f t="shared" si="14"/>
        <v/>
      </c>
      <c r="Q90" t="str">
        <f t="shared" si="15"/>
        <v/>
      </c>
      <c r="R90" t="str">
        <f t="shared" si="16"/>
        <v/>
      </c>
      <c r="S90" t="str">
        <f t="shared" si="17"/>
        <v/>
      </c>
      <c r="T90" t="str">
        <f t="shared" si="18"/>
        <v/>
      </c>
      <c r="U90" t="str">
        <f t="shared" si="19"/>
        <v/>
      </c>
    </row>
    <row r="91" spans="1:21" x14ac:dyDescent="0.2">
      <c r="A91" t="s">
        <v>147</v>
      </c>
      <c r="B91" s="2">
        <v>0</v>
      </c>
      <c r="C91" s="2">
        <v>0</v>
      </c>
      <c r="D91" s="2">
        <v>0</v>
      </c>
      <c r="E91" s="2">
        <v>8.4033613445378096E-3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>Q3</v>
      </c>
      <c r="P91" t="str">
        <f t="shared" si="14"/>
        <v/>
      </c>
      <c r="Q91" t="str">
        <f t="shared" si="15"/>
        <v/>
      </c>
      <c r="R91" t="str">
        <f t="shared" si="16"/>
        <v/>
      </c>
      <c r="S91" t="str">
        <f t="shared" si="17"/>
        <v/>
      </c>
      <c r="T91" t="str">
        <f t="shared" si="18"/>
        <v/>
      </c>
      <c r="U91" t="str">
        <f t="shared" si="19"/>
        <v/>
      </c>
    </row>
    <row r="92" spans="1:21" x14ac:dyDescent="0.2">
      <c r="A92" s="8" t="s">
        <v>148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4.6511627906976702E-2</v>
      </c>
      <c r="K92" s="2">
        <v>0</v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 t="str">
        <f t="shared" si="14"/>
        <v/>
      </c>
      <c r="Q92" t="str">
        <f t="shared" si="15"/>
        <v/>
      </c>
      <c r="R92" t="str">
        <f t="shared" si="16"/>
        <v/>
      </c>
      <c r="S92" t="str">
        <f t="shared" si="17"/>
        <v/>
      </c>
      <c r="T92" t="str">
        <f t="shared" si="18"/>
        <v>Q3</v>
      </c>
      <c r="U92" t="str">
        <f t="shared" si="19"/>
        <v/>
      </c>
    </row>
    <row r="93" spans="1:21" x14ac:dyDescent="0.2">
      <c r="A93" t="s">
        <v>149</v>
      </c>
      <c r="B93" s="2">
        <v>0</v>
      </c>
      <c r="C93" s="2">
        <v>0</v>
      </c>
      <c r="D93" s="2">
        <v>0</v>
      </c>
      <c r="E93" s="2">
        <v>8.4033613445378096E-3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>Q3</v>
      </c>
      <c r="P93" t="str">
        <f t="shared" si="14"/>
        <v/>
      </c>
      <c r="Q93" t="str">
        <f t="shared" si="15"/>
        <v/>
      </c>
      <c r="R93" t="str">
        <f t="shared" si="16"/>
        <v/>
      </c>
      <c r="S93" t="str">
        <f t="shared" si="17"/>
        <v/>
      </c>
      <c r="T93" t="str">
        <f t="shared" si="18"/>
        <v/>
      </c>
      <c r="U93" t="str">
        <f t="shared" si="19"/>
        <v/>
      </c>
    </row>
    <row r="94" spans="1:21" x14ac:dyDescent="0.2">
      <c r="A94" t="s">
        <v>150</v>
      </c>
      <c r="B94" s="2">
        <v>0</v>
      </c>
      <c r="C94" s="2">
        <v>0</v>
      </c>
      <c r="D94" s="2">
        <v>0</v>
      </c>
      <c r="E94" s="2">
        <v>3.7815126050420103E-2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>Q1</v>
      </c>
      <c r="P94" t="str">
        <f t="shared" si="14"/>
        <v/>
      </c>
      <c r="Q94" t="str">
        <f t="shared" si="15"/>
        <v/>
      </c>
      <c r="R94" t="str">
        <f t="shared" si="16"/>
        <v/>
      </c>
      <c r="S94" t="str">
        <f t="shared" si="17"/>
        <v/>
      </c>
      <c r="T94" t="str">
        <f t="shared" si="18"/>
        <v/>
      </c>
      <c r="U94" t="str">
        <f t="shared" si="19"/>
        <v/>
      </c>
    </row>
    <row r="95" spans="1:21" x14ac:dyDescent="0.2">
      <c r="A95" t="s">
        <v>151</v>
      </c>
      <c r="B95" s="2">
        <v>0</v>
      </c>
      <c r="C95" s="2">
        <v>0</v>
      </c>
      <c r="D95" s="2">
        <v>0</v>
      </c>
      <c r="E95" s="2">
        <v>2.1008403361344501E-2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>Q2</v>
      </c>
      <c r="P95" t="str">
        <f t="shared" si="14"/>
        <v/>
      </c>
      <c r="Q95" t="str">
        <f t="shared" si="15"/>
        <v/>
      </c>
      <c r="R95" t="str">
        <f t="shared" si="16"/>
        <v/>
      </c>
      <c r="S95" t="str">
        <f t="shared" si="17"/>
        <v/>
      </c>
      <c r="T95" t="str">
        <f t="shared" si="18"/>
        <v/>
      </c>
      <c r="U95" t="str">
        <f t="shared" si="19"/>
        <v/>
      </c>
    </row>
    <row r="96" spans="1:21" x14ac:dyDescent="0.2">
      <c r="A96" s="8" t="s">
        <v>152</v>
      </c>
      <c r="B96" s="2">
        <v>0</v>
      </c>
      <c r="C96" s="2">
        <v>0</v>
      </c>
      <c r="D96" s="2">
        <v>0</v>
      </c>
      <c r="E96" s="2">
        <v>7.1428571428571397E-2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0.11764705882352899</v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>Q1</v>
      </c>
      <c r="P96" t="str">
        <f t="shared" si="14"/>
        <v/>
      </c>
      <c r="Q96" t="str">
        <f t="shared" si="15"/>
        <v/>
      </c>
      <c r="R96" t="str">
        <f t="shared" si="16"/>
        <v/>
      </c>
      <c r="S96" t="str">
        <f t="shared" si="17"/>
        <v/>
      </c>
      <c r="T96" t="str">
        <f t="shared" si="18"/>
        <v/>
      </c>
      <c r="U96" t="str">
        <f t="shared" si="19"/>
        <v>Q3</v>
      </c>
    </row>
    <row r="97" spans="1:21" x14ac:dyDescent="0.2">
      <c r="A97" t="s">
        <v>153</v>
      </c>
      <c r="B97" s="2">
        <v>0</v>
      </c>
      <c r="C97" s="2">
        <v>0</v>
      </c>
      <c r="D97" s="2">
        <v>0</v>
      </c>
      <c r="E97" s="2">
        <v>2.5210084033613401E-2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>Q1</v>
      </c>
      <c r="P97" t="str">
        <f t="shared" si="14"/>
        <v/>
      </c>
      <c r="Q97" t="str">
        <f t="shared" si="15"/>
        <v/>
      </c>
      <c r="R97" t="str">
        <f t="shared" si="16"/>
        <v/>
      </c>
      <c r="S97" t="str">
        <f t="shared" si="17"/>
        <v/>
      </c>
      <c r="T97" t="str">
        <f t="shared" si="18"/>
        <v/>
      </c>
      <c r="U97" t="str">
        <f t="shared" si="19"/>
        <v/>
      </c>
    </row>
    <row r="98" spans="1:21" x14ac:dyDescent="0.2">
      <c r="A98" t="s">
        <v>154</v>
      </c>
      <c r="B98" s="2">
        <v>0</v>
      </c>
      <c r="C98" s="2">
        <v>0</v>
      </c>
      <c r="D98" s="2">
        <v>0</v>
      </c>
      <c r="E98" s="2">
        <v>8.4033613445378096E-3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>Q3</v>
      </c>
      <c r="P98" t="str">
        <f t="shared" si="14"/>
        <v/>
      </c>
      <c r="Q98" t="str">
        <f t="shared" si="15"/>
        <v/>
      </c>
      <c r="R98" t="str">
        <f t="shared" si="16"/>
        <v/>
      </c>
      <c r="S98" t="str">
        <f t="shared" si="17"/>
        <v/>
      </c>
      <c r="T98" t="str">
        <f t="shared" si="18"/>
        <v/>
      </c>
      <c r="U98" t="str">
        <f t="shared" si="19"/>
        <v/>
      </c>
    </row>
    <row r="99" spans="1:21" x14ac:dyDescent="0.2">
      <c r="A99" t="s">
        <v>155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0.22222222222222199</v>
      </c>
      <c r="I99" s="2">
        <v>0</v>
      </c>
      <c r="J99" s="2">
        <v>0</v>
      </c>
      <c r="K99" s="2">
        <v>0</v>
      </c>
      <c r="L99" t="str">
        <f t="shared" si="10"/>
        <v/>
      </c>
      <c r="M99" t="str">
        <f t="shared" si="11"/>
        <v/>
      </c>
      <c r="N99" t="str">
        <f t="shared" si="12"/>
        <v/>
      </c>
      <c r="O99" t="str">
        <f t="shared" si="13"/>
        <v/>
      </c>
      <c r="P99" t="str">
        <f t="shared" si="14"/>
        <v/>
      </c>
      <c r="Q99" t="str">
        <f t="shared" si="15"/>
        <v/>
      </c>
      <c r="R99" t="str">
        <f t="shared" si="16"/>
        <v>Q3</v>
      </c>
      <c r="S99" t="str">
        <f t="shared" si="17"/>
        <v/>
      </c>
      <c r="T99" t="str">
        <f t="shared" si="18"/>
        <v/>
      </c>
      <c r="U99" t="str">
        <f t="shared" si="19"/>
        <v/>
      </c>
    </row>
    <row r="100" spans="1:21" x14ac:dyDescent="0.2">
      <c r="A100" s="8" t="s">
        <v>156</v>
      </c>
      <c r="B100" s="2">
        <v>0</v>
      </c>
      <c r="C100" s="2">
        <v>0</v>
      </c>
      <c r="D100" s="2">
        <v>0</v>
      </c>
      <c r="E100" s="2">
        <v>1.6806722689075598E-2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t="str">
        <f t="shared" si="10"/>
        <v/>
      </c>
      <c r="M100" t="str">
        <f t="shared" si="11"/>
        <v/>
      </c>
      <c r="N100" t="str">
        <f t="shared" si="12"/>
        <v/>
      </c>
      <c r="O100" t="str">
        <f t="shared" si="13"/>
        <v>Q2</v>
      </c>
      <c r="P100" t="str">
        <f t="shared" si="14"/>
        <v/>
      </c>
      <c r="Q100" t="str">
        <f t="shared" si="15"/>
        <v/>
      </c>
      <c r="R100" t="str">
        <f t="shared" si="16"/>
        <v/>
      </c>
      <c r="S100" t="str">
        <f t="shared" si="17"/>
        <v/>
      </c>
      <c r="T100" t="str">
        <f t="shared" si="18"/>
        <v/>
      </c>
      <c r="U100" t="str">
        <f t="shared" si="19"/>
        <v/>
      </c>
    </row>
    <row r="101" spans="1:21" x14ac:dyDescent="0.2">
      <c r="A101" t="s">
        <v>157</v>
      </c>
      <c r="B101" s="2">
        <v>0</v>
      </c>
      <c r="C101" s="2">
        <v>0</v>
      </c>
      <c r="D101" s="2">
        <v>0</v>
      </c>
      <c r="E101" s="2">
        <v>1.6806722689075598E-2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t="str">
        <f t="shared" si="10"/>
        <v/>
      </c>
      <c r="M101" t="str">
        <f t="shared" si="11"/>
        <v/>
      </c>
      <c r="N101" t="str">
        <f t="shared" si="12"/>
        <v/>
      </c>
      <c r="O101" t="str">
        <f t="shared" si="13"/>
        <v>Q2</v>
      </c>
      <c r="P101" t="str">
        <f t="shared" si="14"/>
        <v/>
      </c>
      <c r="Q101" t="str">
        <f t="shared" si="15"/>
        <v/>
      </c>
      <c r="R101" t="str">
        <f t="shared" si="16"/>
        <v/>
      </c>
      <c r="S101" t="str">
        <f t="shared" si="17"/>
        <v/>
      </c>
      <c r="T101" t="str">
        <f t="shared" si="18"/>
        <v/>
      </c>
      <c r="U101" t="str">
        <f t="shared" si="19"/>
        <v/>
      </c>
    </row>
    <row r="102" spans="1:21" x14ac:dyDescent="0.2">
      <c r="A102" t="s">
        <v>158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0.29411764705882298</v>
      </c>
      <c r="L102" t="str">
        <f t="shared" si="10"/>
        <v/>
      </c>
      <c r="M102" t="str">
        <f t="shared" si="11"/>
        <v/>
      </c>
      <c r="N102" t="str">
        <f t="shared" si="12"/>
        <v/>
      </c>
      <c r="O102" t="str">
        <f t="shared" si="13"/>
        <v/>
      </c>
      <c r="P102" t="str">
        <f t="shared" si="14"/>
        <v/>
      </c>
      <c r="Q102" t="str">
        <f t="shared" si="15"/>
        <v/>
      </c>
      <c r="R102" t="str">
        <f t="shared" si="16"/>
        <v/>
      </c>
      <c r="S102" t="str">
        <f t="shared" si="17"/>
        <v/>
      </c>
      <c r="T102" t="str">
        <f t="shared" si="18"/>
        <v/>
      </c>
      <c r="U102" t="str">
        <f t="shared" si="19"/>
        <v>Q1</v>
      </c>
    </row>
    <row r="103" spans="1:21" x14ac:dyDescent="0.2">
      <c r="A103" t="s">
        <v>159</v>
      </c>
      <c r="B103" s="2">
        <v>0</v>
      </c>
      <c r="C103" s="2">
        <v>0</v>
      </c>
      <c r="D103" s="2">
        <v>0</v>
      </c>
      <c r="E103" s="2">
        <v>8.4033613445378096E-3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t="str">
        <f t="shared" si="10"/>
        <v/>
      </c>
      <c r="M103" t="str">
        <f t="shared" si="11"/>
        <v/>
      </c>
      <c r="N103" t="str">
        <f t="shared" si="12"/>
        <v/>
      </c>
      <c r="O103" t="str">
        <f t="shared" si="13"/>
        <v>Q3</v>
      </c>
      <c r="P103" t="str">
        <f t="shared" si="14"/>
        <v/>
      </c>
      <c r="Q103" t="str">
        <f t="shared" si="15"/>
        <v/>
      </c>
      <c r="R103" t="str">
        <f t="shared" si="16"/>
        <v/>
      </c>
      <c r="S103" t="str">
        <f t="shared" si="17"/>
        <v/>
      </c>
      <c r="T103" t="str">
        <f t="shared" si="18"/>
        <v/>
      </c>
      <c r="U103" t="str">
        <f t="shared" si="19"/>
        <v/>
      </c>
    </row>
    <row r="104" spans="1:21" x14ac:dyDescent="0.2">
      <c r="A104" t="s">
        <v>160</v>
      </c>
      <c r="B104" s="2">
        <v>0</v>
      </c>
      <c r="C104" s="2">
        <v>0</v>
      </c>
      <c r="D104" s="2">
        <v>0</v>
      </c>
      <c r="E104" s="2">
        <v>4.2016806722688996E-3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t="str">
        <f t="shared" si="10"/>
        <v/>
      </c>
      <c r="M104" t="str">
        <f t="shared" si="11"/>
        <v/>
      </c>
      <c r="N104" t="str">
        <f t="shared" si="12"/>
        <v/>
      </c>
      <c r="O104" t="str">
        <f t="shared" si="13"/>
        <v>Q4</v>
      </c>
      <c r="P104" t="str">
        <f t="shared" si="14"/>
        <v/>
      </c>
      <c r="Q104" t="str">
        <f t="shared" si="15"/>
        <v/>
      </c>
      <c r="R104" t="str">
        <f t="shared" si="16"/>
        <v/>
      </c>
      <c r="S104" t="str">
        <f t="shared" si="17"/>
        <v/>
      </c>
      <c r="T104" t="str">
        <f t="shared" si="18"/>
        <v/>
      </c>
      <c r="U104" t="str">
        <f t="shared" si="19"/>
        <v/>
      </c>
    </row>
    <row r="105" spans="1:21" x14ac:dyDescent="0.2">
      <c r="A105" t="s">
        <v>161</v>
      </c>
      <c r="B105" s="2">
        <v>0</v>
      </c>
      <c r="C105" s="2">
        <v>0</v>
      </c>
      <c r="D105" s="2">
        <v>0</v>
      </c>
      <c r="E105" s="2">
        <v>8.4033613445378096E-3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t="str">
        <f t="shared" si="10"/>
        <v/>
      </c>
      <c r="M105" t="str">
        <f t="shared" si="11"/>
        <v/>
      </c>
      <c r="N105" t="str">
        <f t="shared" si="12"/>
        <v/>
      </c>
      <c r="O105" t="str">
        <f t="shared" si="13"/>
        <v>Q3</v>
      </c>
      <c r="P105" t="str">
        <f t="shared" si="14"/>
        <v/>
      </c>
      <c r="Q105" t="str">
        <f t="shared" si="15"/>
        <v/>
      </c>
      <c r="R105" t="str">
        <f t="shared" si="16"/>
        <v/>
      </c>
      <c r="S105" t="str">
        <f t="shared" si="17"/>
        <v/>
      </c>
      <c r="T105" t="str">
        <f t="shared" si="18"/>
        <v/>
      </c>
      <c r="U105" t="str">
        <f t="shared" si="19"/>
        <v/>
      </c>
    </row>
    <row r="106" spans="1:21" x14ac:dyDescent="0.2">
      <c r="A106" t="s">
        <v>162</v>
      </c>
      <c r="B106" s="2">
        <v>0</v>
      </c>
      <c r="C106" s="2">
        <v>0</v>
      </c>
      <c r="D106" s="2">
        <v>0</v>
      </c>
      <c r="E106" s="2">
        <v>2.1008403361344501E-2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t="str">
        <f t="shared" si="10"/>
        <v/>
      </c>
      <c r="M106" t="str">
        <f t="shared" si="11"/>
        <v/>
      </c>
      <c r="N106" t="str">
        <f t="shared" si="12"/>
        <v/>
      </c>
      <c r="O106" t="str">
        <f t="shared" si="13"/>
        <v>Q2</v>
      </c>
      <c r="P106" t="str">
        <f t="shared" si="14"/>
        <v/>
      </c>
      <c r="Q106" t="str">
        <f t="shared" si="15"/>
        <v/>
      </c>
      <c r="R106" t="str">
        <f t="shared" si="16"/>
        <v/>
      </c>
      <c r="S106" t="str">
        <f t="shared" si="17"/>
        <v/>
      </c>
      <c r="T106" t="str">
        <f t="shared" si="18"/>
        <v/>
      </c>
      <c r="U106" t="str">
        <f t="shared" si="19"/>
        <v/>
      </c>
    </row>
    <row r="107" spans="1:21" x14ac:dyDescent="0.2">
      <c r="A107" t="s">
        <v>163</v>
      </c>
      <c r="B107" s="2">
        <v>0</v>
      </c>
      <c r="C107" s="2">
        <v>0</v>
      </c>
      <c r="D107" s="2">
        <v>0</v>
      </c>
      <c r="E107" s="2">
        <v>8.4033613445378096E-3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t="str">
        <f t="shared" si="10"/>
        <v/>
      </c>
      <c r="M107" t="str">
        <f t="shared" si="11"/>
        <v/>
      </c>
      <c r="N107" t="str">
        <f t="shared" si="12"/>
        <v/>
      </c>
      <c r="O107" t="str">
        <f t="shared" si="13"/>
        <v>Q3</v>
      </c>
      <c r="P107" t="str">
        <f t="shared" si="14"/>
        <v/>
      </c>
      <c r="Q107" t="str">
        <f t="shared" si="15"/>
        <v/>
      </c>
      <c r="R107" t="str">
        <f t="shared" si="16"/>
        <v/>
      </c>
      <c r="S107" t="str">
        <f t="shared" si="17"/>
        <v/>
      </c>
      <c r="T107" t="str">
        <f t="shared" si="18"/>
        <v/>
      </c>
      <c r="U107" t="str">
        <f t="shared" si="19"/>
        <v/>
      </c>
    </row>
    <row r="108" spans="1:21" x14ac:dyDescent="0.2">
      <c r="A108" t="s">
        <v>164</v>
      </c>
      <c r="B108" s="2">
        <v>0.6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t="str">
        <f t="shared" si="10"/>
        <v>Q2</v>
      </c>
      <c r="M108" t="str">
        <f t="shared" si="11"/>
        <v/>
      </c>
      <c r="N108" t="str">
        <f t="shared" si="12"/>
        <v/>
      </c>
      <c r="O108" t="str">
        <f t="shared" si="13"/>
        <v/>
      </c>
      <c r="P108" t="str">
        <f t="shared" si="14"/>
        <v/>
      </c>
      <c r="Q108" t="str">
        <f t="shared" si="15"/>
        <v/>
      </c>
      <c r="R108" t="str">
        <f t="shared" si="16"/>
        <v/>
      </c>
      <c r="S108" t="str">
        <f t="shared" si="17"/>
        <v/>
      </c>
      <c r="T108" t="str">
        <f t="shared" si="18"/>
        <v/>
      </c>
      <c r="U108" t="str">
        <f t="shared" si="19"/>
        <v/>
      </c>
    </row>
    <row r="109" spans="1:21" x14ac:dyDescent="0.2">
      <c r="A109" t="s">
        <v>165</v>
      </c>
      <c r="B109" s="2">
        <v>0</v>
      </c>
      <c r="C109" s="2">
        <v>0</v>
      </c>
      <c r="D109" s="2">
        <v>0</v>
      </c>
      <c r="E109" s="2">
        <v>8.4033613445378096E-3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t="str">
        <f t="shared" si="10"/>
        <v/>
      </c>
      <c r="M109" t="str">
        <f t="shared" si="11"/>
        <v/>
      </c>
      <c r="N109" t="str">
        <f t="shared" si="12"/>
        <v/>
      </c>
      <c r="O109" t="str">
        <f t="shared" si="13"/>
        <v>Q3</v>
      </c>
      <c r="P109" t="str">
        <f t="shared" si="14"/>
        <v/>
      </c>
      <c r="Q109" t="str">
        <f t="shared" si="15"/>
        <v/>
      </c>
      <c r="R109" t="str">
        <f t="shared" si="16"/>
        <v/>
      </c>
      <c r="S109" t="str">
        <f t="shared" si="17"/>
        <v/>
      </c>
      <c r="T109" t="str">
        <f t="shared" si="18"/>
        <v/>
      </c>
      <c r="U109" t="str">
        <f t="shared" si="19"/>
        <v/>
      </c>
    </row>
    <row r="110" spans="1:21" x14ac:dyDescent="0.2">
      <c r="A110" t="s">
        <v>166</v>
      </c>
      <c r="B110" s="2">
        <v>0</v>
      </c>
      <c r="C110" s="2">
        <v>0</v>
      </c>
      <c r="D110" s="2">
        <v>0</v>
      </c>
      <c r="E110" s="2">
        <v>1.6806722689075598E-2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t="str">
        <f t="shared" si="10"/>
        <v/>
      </c>
      <c r="M110" t="str">
        <f t="shared" si="11"/>
        <v/>
      </c>
      <c r="N110" t="str">
        <f t="shared" si="12"/>
        <v/>
      </c>
      <c r="O110" t="str">
        <f t="shared" si="13"/>
        <v>Q2</v>
      </c>
      <c r="P110" t="str">
        <f t="shared" si="14"/>
        <v/>
      </c>
      <c r="Q110" t="str">
        <f t="shared" si="15"/>
        <v/>
      </c>
      <c r="R110" t="str">
        <f t="shared" si="16"/>
        <v/>
      </c>
      <c r="S110" t="str">
        <f t="shared" si="17"/>
        <v/>
      </c>
      <c r="T110" t="str">
        <f t="shared" si="18"/>
        <v/>
      </c>
      <c r="U110" t="str">
        <f t="shared" si="19"/>
        <v/>
      </c>
    </row>
    <row r="111" spans="1:21" x14ac:dyDescent="0.2">
      <c r="A111" t="s">
        <v>167</v>
      </c>
      <c r="B111" s="2">
        <v>0</v>
      </c>
      <c r="C111" s="2">
        <v>0</v>
      </c>
      <c r="D111" s="2">
        <v>0</v>
      </c>
      <c r="E111" s="2">
        <v>3.7815126050420103E-2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t="str">
        <f t="shared" si="10"/>
        <v/>
      </c>
      <c r="M111" t="str">
        <f t="shared" si="11"/>
        <v/>
      </c>
      <c r="N111" t="str">
        <f t="shared" si="12"/>
        <v/>
      </c>
      <c r="O111" t="str">
        <f t="shared" si="13"/>
        <v>Q1</v>
      </c>
      <c r="P111" t="str">
        <f t="shared" si="14"/>
        <v/>
      </c>
      <c r="Q111" t="str">
        <f t="shared" si="15"/>
        <v/>
      </c>
      <c r="R111" t="str">
        <f t="shared" si="16"/>
        <v/>
      </c>
      <c r="S111" t="str">
        <f t="shared" si="17"/>
        <v/>
      </c>
      <c r="T111" t="str">
        <f t="shared" si="18"/>
        <v/>
      </c>
      <c r="U111" t="str">
        <f t="shared" si="19"/>
        <v/>
      </c>
    </row>
    <row r="112" spans="1:21" x14ac:dyDescent="0.2">
      <c r="A112" t="s">
        <v>168</v>
      </c>
      <c r="B112" s="2">
        <v>0</v>
      </c>
      <c r="C112" s="2">
        <v>0</v>
      </c>
      <c r="D112" s="2">
        <v>0</v>
      </c>
      <c r="E112" s="2">
        <v>1.26050420168067E-2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t="str">
        <f t="shared" si="10"/>
        <v/>
      </c>
      <c r="M112" t="str">
        <f t="shared" si="11"/>
        <v/>
      </c>
      <c r="N112" t="str">
        <f t="shared" si="12"/>
        <v/>
      </c>
      <c r="O112" t="str">
        <f t="shared" si="13"/>
        <v>Q2</v>
      </c>
      <c r="P112" t="str">
        <f t="shared" si="14"/>
        <v/>
      </c>
      <c r="Q112" t="str">
        <f t="shared" si="15"/>
        <v/>
      </c>
      <c r="R112" t="str">
        <f t="shared" si="16"/>
        <v/>
      </c>
      <c r="S112" t="str">
        <f t="shared" si="17"/>
        <v/>
      </c>
      <c r="T112" t="str">
        <f t="shared" si="18"/>
        <v/>
      </c>
      <c r="U112" t="str">
        <f t="shared" si="19"/>
        <v/>
      </c>
    </row>
    <row r="113" spans="1:21" x14ac:dyDescent="0.2">
      <c r="A113" t="s">
        <v>169</v>
      </c>
      <c r="B113" s="2">
        <v>0</v>
      </c>
      <c r="C113" s="2">
        <v>0</v>
      </c>
      <c r="D113" s="2">
        <v>0</v>
      </c>
      <c r="E113" s="2">
        <v>0</v>
      </c>
      <c r="F113" s="2">
        <v>7.69230769230769E-2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t="str">
        <f t="shared" si="10"/>
        <v/>
      </c>
      <c r="M113" t="str">
        <f t="shared" si="11"/>
        <v/>
      </c>
      <c r="N113" t="str">
        <f t="shared" si="12"/>
        <v/>
      </c>
      <c r="O113" t="str">
        <f t="shared" si="13"/>
        <v/>
      </c>
      <c r="P113" t="str">
        <f t="shared" si="14"/>
        <v>Q2</v>
      </c>
      <c r="Q113" t="str">
        <f t="shared" si="15"/>
        <v/>
      </c>
      <c r="R113" t="str">
        <f t="shared" si="16"/>
        <v/>
      </c>
      <c r="S113" t="str">
        <f t="shared" si="17"/>
        <v/>
      </c>
      <c r="T113" t="str">
        <f t="shared" si="18"/>
        <v/>
      </c>
      <c r="U113" t="str">
        <f t="shared" si="19"/>
        <v/>
      </c>
    </row>
    <row r="114" spans="1:21" x14ac:dyDescent="0.2">
      <c r="A114" t="s">
        <v>170</v>
      </c>
      <c r="B114" s="2">
        <v>0</v>
      </c>
      <c r="C114" s="2">
        <v>0</v>
      </c>
      <c r="D114" s="2">
        <v>0</v>
      </c>
      <c r="E114" s="2">
        <v>1.6806722689075598E-2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t="str">
        <f t="shared" si="10"/>
        <v/>
      </c>
      <c r="M114" t="str">
        <f t="shared" si="11"/>
        <v/>
      </c>
      <c r="N114" t="str">
        <f t="shared" si="12"/>
        <v/>
      </c>
      <c r="O114" t="str">
        <f t="shared" si="13"/>
        <v>Q2</v>
      </c>
      <c r="P114" t="str">
        <f t="shared" si="14"/>
        <v/>
      </c>
      <c r="Q114" t="str">
        <f t="shared" si="15"/>
        <v/>
      </c>
      <c r="R114" t="str">
        <f t="shared" si="16"/>
        <v/>
      </c>
      <c r="S114" t="str">
        <f t="shared" si="17"/>
        <v/>
      </c>
      <c r="T114" t="str">
        <f t="shared" si="18"/>
        <v/>
      </c>
      <c r="U114" t="str">
        <f t="shared" si="19"/>
        <v/>
      </c>
    </row>
    <row r="115" spans="1:21" x14ac:dyDescent="0.2">
      <c r="A115" t="s">
        <v>171</v>
      </c>
      <c r="B115" s="2">
        <v>0</v>
      </c>
      <c r="C115" s="2">
        <v>0</v>
      </c>
      <c r="D115" s="2">
        <v>0</v>
      </c>
      <c r="E115" s="2">
        <v>1.26050420168067E-2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t="str">
        <f t="shared" si="10"/>
        <v/>
      </c>
      <c r="M115" t="str">
        <f t="shared" si="11"/>
        <v/>
      </c>
      <c r="N115" t="str">
        <f t="shared" si="12"/>
        <v/>
      </c>
      <c r="O115" t="str">
        <f t="shared" si="13"/>
        <v>Q2</v>
      </c>
      <c r="P115" t="str">
        <f t="shared" si="14"/>
        <v/>
      </c>
      <c r="Q115" t="str">
        <f t="shared" si="15"/>
        <v/>
      </c>
      <c r="R115" t="str">
        <f t="shared" si="16"/>
        <v/>
      </c>
      <c r="S115" t="str">
        <f t="shared" si="17"/>
        <v/>
      </c>
      <c r="T115" t="str">
        <f t="shared" si="18"/>
        <v/>
      </c>
      <c r="U115" t="str">
        <f t="shared" si="19"/>
        <v/>
      </c>
    </row>
    <row r="116" spans="1:21" x14ac:dyDescent="0.2">
      <c r="A116" t="s">
        <v>172</v>
      </c>
      <c r="B116" s="2">
        <v>0</v>
      </c>
      <c r="C116" s="2">
        <v>0</v>
      </c>
      <c r="D116" s="2">
        <v>0</v>
      </c>
      <c r="E116" s="2">
        <v>3.3613445378151197E-2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t="str">
        <f t="shared" si="10"/>
        <v/>
      </c>
      <c r="M116" t="str">
        <f t="shared" si="11"/>
        <v/>
      </c>
      <c r="N116" t="str">
        <f t="shared" si="12"/>
        <v/>
      </c>
      <c r="O116" t="str">
        <f t="shared" si="13"/>
        <v>Q1</v>
      </c>
      <c r="P116" t="str">
        <f t="shared" si="14"/>
        <v/>
      </c>
      <c r="Q116" t="str">
        <f t="shared" si="15"/>
        <v/>
      </c>
      <c r="R116" t="str">
        <f t="shared" si="16"/>
        <v/>
      </c>
      <c r="S116" t="str">
        <f t="shared" si="17"/>
        <v/>
      </c>
      <c r="T116" t="str">
        <f t="shared" si="18"/>
        <v/>
      </c>
      <c r="U116" t="str">
        <f t="shared" si="19"/>
        <v/>
      </c>
    </row>
    <row r="117" spans="1:21" x14ac:dyDescent="0.2">
      <c r="A117" t="s">
        <v>173</v>
      </c>
      <c r="B117" s="2">
        <v>0</v>
      </c>
      <c r="C117" s="2">
        <v>0.6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t="str">
        <f t="shared" si="10"/>
        <v/>
      </c>
      <c r="M117" t="str">
        <f t="shared" si="11"/>
        <v>Q1</v>
      </c>
      <c r="N117" t="str">
        <f t="shared" si="12"/>
        <v/>
      </c>
      <c r="O117" t="str">
        <f t="shared" si="13"/>
        <v/>
      </c>
      <c r="P117" t="str">
        <f t="shared" si="14"/>
        <v/>
      </c>
      <c r="Q117" t="str">
        <f t="shared" si="15"/>
        <v/>
      </c>
      <c r="R117" t="str">
        <f t="shared" si="16"/>
        <v/>
      </c>
      <c r="S117" t="str">
        <f t="shared" si="17"/>
        <v/>
      </c>
      <c r="T117" t="str">
        <f t="shared" si="18"/>
        <v/>
      </c>
      <c r="U117" t="str">
        <f t="shared" si="19"/>
        <v/>
      </c>
    </row>
    <row r="118" spans="1:21" x14ac:dyDescent="0.2">
      <c r="A118" t="s">
        <v>174</v>
      </c>
      <c r="B118" s="2">
        <v>0</v>
      </c>
      <c r="C118" s="2">
        <v>0</v>
      </c>
      <c r="D118" s="2">
        <v>0</v>
      </c>
      <c r="E118" s="2">
        <v>1.26050420168067E-2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t="str">
        <f t="shared" si="10"/>
        <v/>
      </c>
      <c r="M118" t="str">
        <f t="shared" si="11"/>
        <v/>
      </c>
      <c r="N118" t="str">
        <f t="shared" si="12"/>
        <v/>
      </c>
      <c r="O118" t="str">
        <f t="shared" si="13"/>
        <v>Q2</v>
      </c>
      <c r="P118" t="str">
        <f t="shared" si="14"/>
        <v/>
      </c>
      <c r="Q118" t="str">
        <f t="shared" si="15"/>
        <v/>
      </c>
      <c r="R118" t="str">
        <f t="shared" si="16"/>
        <v/>
      </c>
      <c r="S118" t="str">
        <f t="shared" si="17"/>
        <v/>
      </c>
      <c r="T118" t="str">
        <f t="shared" si="18"/>
        <v/>
      </c>
      <c r="U118" t="str">
        <f t="shared" si="19"/>
        <v/>
      </c>
    </row>
    <row r="119" spans="1:21" x14ac:dyDescent="0.2">
      <c r="A119" t="s">
        <v>175</v>
      </c>
      <c r="B119" s="2">
        <v>0</v>
      </c>
      <c r="C119" s="2">
        <v>0</v>
      </c>
      <c r="D119" s="2">
        <v>0</v>
      </c>
      <c r="E119" s="2">
        <v>8.4033613445378096E-3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t="str">
        <f t="shared" si="10"/>
        <v/>
      </c>
      <c r="M119" t="str">
        <f t="shared" si="11"/>
        <v/>
      </c>
      <c r="N119" t="str">
        <f t="shared" si="12"/>
        <v/>
      </c>
      <c r="O119" t="str">
        <f t="shared" si="13"/>
        <v>Q3</v>
      </c>
      <c r="P119" t="str">
        <f t="shared" si="14"/>
        <v/>
      </c>
      <c r="Q119" t="str">
        <f t="shared" si="15"/>
        <v/>
      </c>
      <c r="R119" t="str">
        <f t="shared" si="16"/>
        <v/>
      </c>
      <c r="S119" t="str">
        <f t="shared" si="17"/>
        <v/>
      </c>
      <c r="T119" t="str">
        <f t="shared" si="18"/>
        <v/>
      </c>
      <c r="U119" t="str">
        <f t="shared" si="19"/>
        <v/>
      </c>
    </row>
    <row r="120" spans="1:21" x14ac:dyDescent="0.2">
      <c r="A120" t="s">
        <v>176</v>
      </c>
      <c r="B120" s="2">
        <v>0</v>
      </c>
      <c r="C120" s="2">
        <v>0</v>
      </c>
      <c r="D120" s="2">
        <v>0</v>
      </c>
      <c r="E120" s="2">
        <v>3.3613445378151197E-2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t="str">
        <f t="shared" si="10"/>
        <v/>
      </c>
      <c r="M120" t="str">
        <f t="shared" si="11"/>
        <v/>
      </c>
      <c r="N120" t="str">
        <f t="shared" si="12"/>
        <v/>
      </c>
      <c r="O120" t="str">
        <f t="shared" si="13"/>
        <v>Q1</v>
      </c>
      <c r="P120" t="str">
        <f t="shared" si="14"/>
        <v/>
      </c>
      <c r="Q120" t="str">
        <f t="shared" si="15"/>
        <v/>
      </c>
      <c r="R120" t="str">
        <f t="shared" si="16"/>
        <v/>
      </c>
      <c r="S120" t="str">
        <f t="shared" si="17"/>
        <v/>
      </c>
      <c r="T120" t="str">
        <f t="shared" si="18"/>
        <v/>
      </c>
      <c r="U120" t="str">
        <f t="shared" si="19"/>
        <v/>
      </c>
    </row>
    <row r="121" spans="1:21" x14ac:dyDescent="0.2">
      <c r="A121" t="s">
        <v>177</v>
      </c>
      <c r="B121" s="2">
        <v>0</v>
      </c>
      <c r="C121" s="2">
        <v>0</v>
      </c>
      <c r="D121" s="2">
        <v>0.28571428571428498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t="str">
        <f t="shared" si="10"/>
        <v/>
      </c>
      <c r="M121" t="str">
        <f t="shared" si="11"/>
        <v/>
      </c>
      <c r="N121" t="str">
        <f t="shared" si="12"/>
        <v>Q1</v>
      </c>
      <c r="O121" t="str">
        <f t="shared" si="13"/>
        <v/>
      </c>
      <c r="P121" t="str">
        <f t="shared" si="14"/>
        <v/>
      </c>
      <c r="Q121" t="str">
        <f t="shared" si="15"/>
        <v/>
      </c>
      <c r="R121" t="str">
        <f t="shared" si="16"/>
        <v/>
      </c>
      <c r="S121" t="str">
        <f t="shared" si="17"/>
        <v/>
      </c>
      <c r="T121" t="str">
        <f t="shared" si="18"/>
        <v/>
      </c>
      <c r="U121" t="str">
        <f t="shared" si="19"/>
        <v/>
      </c>
    </row>
    <row r="122" spans="1:21" x14ac:dyDescent="0.2">
      <c r="A122" t="s">
        <v>178</v>
      </c>
      <c r="B122" s="2">
        <v>0</v>
      </c>
      <c r="C122" s="2">
        <v>0</v>
      </c>
      <c r="D122" s="2">
        <v>0.238095238095238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t="str">
        <f t="shared" si="10"/>
        <v/>
      </c>
      <c r="M122" t="str">
        <f t="shared" si="11"/>
        <v/>
      </c>
      <c r="N122" t="str">
        <f t="shared" si="12"/>
        <v>Q2</v>
      </c>
      <c r="O122" t="str">
        <f t="shared" si="13"/>
        <v/>
      </c>
      <c r="P122" t="str">
        <f t="shared" si="14"/>
        <v/>
      </c>
      <c r="Q122" t="str">
        <f t="shared" si="15"/>
        <v/>
      </c>
      <c r="R122" t="str">
        <f t="shared" si="16"/>
        <v/>
      </c>
      <c r="S122" t="str">
        <f t="shared" si="17"/>
        <v/>
      </c>
      <c r="T122" t="str">
        <f t="shared" si="18"/>
        <v/>
      </c>
      <c r="U122" t="str">
        <f t="shared" si="19"/>
        <v/>
      </c>
    </row>
    <row r="123" spans="1:21" x14ac:dyDescent="0.2">
      <c r="A123" s="8" t="s">
        <v>179</v>
      </c>
      <c r="B123" s="2">
        <v>0</v>
      </c>
      <c r="C123" s="2">
        <v>0</v>
      </c>
      <c r="D123" s="2">
        <v>0</v>
      </c>
      <c r="E123" s="2">
        <v>7.1428571428571397E-2</v>
      </c>
      <c r="F123" s="2">
        <v>0.19230769230769201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t="str">
        <f t="shared" si="10"/>
        <v/>
      </c>
      <c r="M123" t="str">
        <f t="shared" si="11"/>
        <v/>
      </c>
      <c r="N123" t="str">
        <f t="shared" si="12"/>
        <v/>
      </c>
      <c r="O123" t="str">
        <f t="shared" si="13"/>
        <v>Q1</v>
      </c>
      <c r="P123" t="str">
        <f t="shared" si="14"/>
        <v>Q1</v>
      </c>
      <c r="Q123" t="str">
        <f t="shared" si="15"/>
        <v/>
      </c>
      <c r="R123" t="str">
        <f t="shared" si="16"/>
        <v/>
      </c>
      <c r="S123" t="str">
        <f t="shared" si="17"/>
        <v/>
      </c>
      <c r="T123" t="str">
        <f t="shared" si="18"/>
        <v/>
      </c>
      <c r="U123" t="str">
        <f t="shared" si="19"/>
        <v/>
      </c>
    </row>
    <row r="124" spans="1:21" x14ac:dyDescent="0.2">
      <c r="A124" s="8" t="s">
        <v>180</v>
      </c>
      <c r="B124" s="2">
        <v>0</v>
      </c>
      <c r="C124" s="2">
        <v>0</v>
      </c>
      <c r="D124" s="2">
        <v>0</v>
      </c>
      <c r="E124" s="2">
        <v>1.26050420168067E-2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t="str">
        <f t="shared" si="10"/>
        <v/>
      </c>
      <c r="M124" t="str">
        <f t="shared" si="11"/>
        <v/>
      </c>
      <c r="N124" t="str">
        <f t="shared" si="12"/>
        <v/>
      </c>
      <c r="O124" t="str">
        <f t="shared" si="13"/>
        <v>Q2</v>
      </c>
      <c r="P124" t="str">
        <f t="shared" si="14"/>
        <v/>
      </c>
      <c r="Q124" t="str">
        <f t="shared" si="15"/>
        <v/>
      </c>
      <c r="R124" t="str">
        <f t="shared" si="16"/>
        <v/>
      </c>
      <c r="S124" t="str">
        <f t="shared" si="17"/>
        <v/>
      </c>
      <c r="T124" t="str">
        <f t="shared" si="18"/>
        <v/>
      </c>
      <c r="U124" t="str">
        <f t="shared" si="19"/>
        <v/>
      </c>
    </row>
    <row r="125" spans="1:21" x14ac:dyDescent="0.2">
      <c r="A125" t="s">
        <v>181</v>
      </c>
      <c r="B125" s="2">
        <v>0</v>
      </c>
      <c r="C125" s="2">
        <v>0</v>
      </c>
      <c r="D125" s="2">
        <v>0</v>
      </c>
      <c r="E125" s="2">
        <v>4.2016806722688996E-3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t="str">
        <f t="shared" si="10"/>
        <v/>
      </c>
      <c r="M125" t="str">
        <f t="shared" si="11"/>
        <v/>
      </c>
      <c r="N125" t="str">
        <f t="shared" si="12"/>
        <v/>
      </c>
      <c r="O125" t="str">
        <f t="shared" si="13"/>
        <v>Q4</v>
      </c>
      <c r="P125" t="str">
        <f t="shared" si="14"/>
        <v/>
      </c>
      <c r="Q125" t="str">
        <f t="shared" si="15"/>
        <v/>
      </c>
      <c r="R125" t="str">
        <f t="shared" si="16"/>
        <v/>
      </c>
      <c r="S125" t="str">
        <f t="shared" si="17"/>
        <v/>
      </c>
      <c r="T125" t="str">
        <f t="shared" si="18"/>
        <v/>
      </c>
      <c r="U125" t="str">
        <f t="shared" si="19"/>
        <v/>
      </c>
    </row>
    <row r="126" spans="1:21" x14ac:dyDescent="0.2">
      <c r="A126" t="s">
        <v>182</v>
      </c>
      <c r="B126" s="2">
        <v>0</v>
      </c>
      <c r="C126" s="2">
        <v>0</v>
      </c>
      <c r="D126" s="2">
        <v>0</v>
      </c>
      <c r="E126" s="2">
        <v>8.4033613445378096E-3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t="str">
        <f t="shared" si="10"/>
        <v/>
      </c>
      <c r="M126" t="str">
        <f t="shared" si="11"/>
        <v/>
      </c>
      <c r="N126" t="str">
        <f t="shared" si="12"/>
        <v/>
      </c>
      <c r="O126" t="str">
        <f t="shared" si="13"/>
        <v>Q3</v>
      </c>
      <c r="P126" t="str">
        <f t="shared" si="14"/>
        <v/>
      </c>
      <c r="Q126" t="str">
        <f t="shared" si="15"/>
        <v/>
      </c>
      <c r="R126" t="str">
        <f t="shared" si="16"/>
        <v/>
      </c>
      <c r="S126" t="str">
        <f t="shared" si="17"/>
        <v/>
      </c>
      <c r="T126" t="str">
        <f t="shared" si="18"/>
        <v/>
      </c>
      <c r="U126" t="str">
        <f t="shared" si="19"/>
        <v/>
      </c>
    </row>
    <row r="127" spans="1:21" x14ac:dyDescent="0.2">
      <c r="A127" t="s">
        <v>183</v>
      </c>
      <c r="B127" s="2">
        <v>0</v>
      </c>
      <c r="C127" s="2">
        <v>0</v>
      </c>
      <c r="D127" s="2">
        <v>0</v>
      </c>
      <c r="E127" s="2">
        <v>1.6806722689075598E-2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t="str">
        <f t="shared" si="10"/>
        <v/>
      </c>
      <c r="M127" t="str">
        <f t="shared" si="11"/>
        <v/>
      </c>
      <c r="N127" t="str">
        <f t="shared" si="12"/>
        <v/>
      </c>
      <c r="O127" t="str">
        <f t="shared" si="13"/>
        <v>Q2</v>
      </c>
      <c r="P127" t="str">
        <f t="shared" si="14"/>
        <v/>
      </c>
      <c r="Q127" t="str">
        <f t="shared" si="15"/>
        <v/>
      </c>
      <c r="R127" t="str">
        <f t="shared" si="16"/>
        <v/>
      </c>
      <c r="S127" t="str">
        <f t="shared" si="17"/>
        <v/>
      </c>
      <c r="T127" t="str">
        <f t="shared" si="18"/>
        <v/>
      </c>
      <c r="U127" t="str">
        <f t="shared" si="19"/>
        <v/>
      </c>
    </row>
    <row r="128" spans="1:21" x14ac:dyDescent="0.2">
      <c r="A128" s="8" t="s">
        <v>184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0.44444444444444398</v>
      </c>
      <c r="I128" s="2">
        <v>0</v>
      </c>
      <c r="J128" s="2">
        <v>9.3023255813953404E-2</v>
      </c>
      <c r="K128" s="2">
        <v>0</v>
      </c>
      <c r="L128" t="str">
        <f t="shared" si="10"/>
        <v/>
      </c>
      <c r="M128" t="str">
        <f t="shared" si="11"/>
        <v/>
      </c>
      <c r="N128" t="str">
        <f t="shared" si="12"/>
        <v/>
      </c>
      <c r="O128" t="str">
        <f t="shared" si="13"/>
        <v/>
      </c>
      <c r="P128" t="str">
        <f t="shared" si="14"/>
        <v/>
      </c>
      <c r="Q128" t="str">
        <f t="shared" si="15"/>
        <v/>
      </c>
      <c r="R128" t="str">
        <f t="shared" si="16"/>
        <v>Q1</v>
      </c>
      <c r="S128" t="str">
        <f t="shared" si="17"/>
        <v/>
      </c>
      <c r="T128" t="str">
        <f t="shared" si="18"/>
        <v>Q2</v>
      </c>
      <c r="U128" t="str">
        <f t="shared" si="19"/>
        <v/>
      </c>
    </row>
    <row r="129" spans="1:21" x14ac:dyDescent="0.2">
      <c r="A129" t="s">
        <v>185</v>
      </c>
      <c r="B129" s="2">
        <v>0</v>
      </c>
      <c r="C129" s="2">
        <v>0</v>
      </c>
      <c r="D129" s="2">
        <v>0</v>
      </c>
      <c r="E129" s="2">
        <v>0</v>
      </c>
      <c r="F129" s="2">
        <v>0.115384615384615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t="str">
        <f t="shared" si="10"/>
        <v/>
      </c>
      <c r="M129" t="str">
        <f t="shared" si="11"/>
        <v/>
      </c>
      <c r="N129" t="str">
        <f t="shared" si="12"/>
        <v/>
      </c>
      <c r="O129" t="str">
        <f t="shared" si="13"/>
        <v/>
      </c>
      <c r="P129" t="str">
        <f t="shared" si="14"/>
        <v>Q2</v>
      </c>
      <c r="Q129" t="str">
        <f t="shared" si="15"/>
        <v/>
      </c>
      <c r="R129" t="str">
        <f t="shared" si="16"/>
        <v/>
      </c>
      <c r="S129" t="str">
        <f t="shared" si="17"/>
        <v/>
      </c>
      <c r="T129" t="str">
        <f t="shared" si="18"/>
        <v/>
      </c>
      <c r="U129" t="str">
        <f t="shared" si="19"/>
        <v/>
      </c>
    </row>
    <row r="130" spans="1:21" x14ac:dyDescent="0.2">
      <c r="A130" t="s">
        <v>186</v>
      </c>
      <c r="B130" s="2">
        <v>0</v>
      </c>
      <c r="C130" s="2">
        <v>0</v>
      </c>
      <c r="D130" s="2">
        <v>0</v>
      </c>
      <c r="E130" s="2">
        <v>1.6806722689075598E-2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t="str">
        <f t="shared" si="10"/>
        <v/>
      </c>
      <c r="M130" t="str">
        <f t="shared" si="11"/>
        <v/>
      </c>
      <c r="N130" t="str">
        <f t="shared" si="12"/>
        <v/>
      </c>
      <c r="O130" t="str">
        <f t="shared" si="13"/>
        <v>Q2</v>
      </c>
      <c r="P130" t="str">
        <f t="shared" si="14"/>
        <v/>
      </c>
      <c r="Q130" t="str">
        <f t="shared" si="15"/>
        <v/>
      </c>
      <c r="R130" t="str">
        <f t="shared" si="16"/>
        <v/>
      </c>
      <c r="S130" t="str">
        <f t="shared" si="17"/>
        <v/>
      </c>
      <c r="T130" t="str">
        <f t="shared" si="18"/>
        <v/>
      </c>
      <c r="U130" t="str">
        <f t="shared" si="19"/>
        <v/>
      </c>
    </row>
    <row r="131" spans="1:21" x14ac:dyDescent="0.2">
      <c r="A131" t="s">
        <v>187</v>
      </c>
      <c r="B131" s="2">
        <v>0</v>
      </c>
      <c r="C131" s="2">
        <v>0</v>
      </c>
      <c r="D131" s="2">
        <v>0</v>
      </c>
      <c r="E131" s="2">
        <v>1.26050420168067E-2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t="str">
        <f t="shared" ref="L131:L194" si="20">IF(B131=0,"","Q"&amp;INT(4*( RANK(B131, IF($B$2:$B$300&lt;&gt;0, $B$2:$B$300), 0) - 1 ) / COUNTIF($B$2:$B$300,"&gt;0")) + 1)</f>
        <v/>
      </c>
      <c r="M131" t="str">
        <f t="shared" ref="M131:M194" si="21">IF(C131=0,"","Q"&amp;INT(4*( RANK(C131, IF($C$2:$C$300&lt;&gt;0, $C$2:$C$300), 0) - 1 ) / COUNTIF($C$2:$C$300,"&gt;0")) + 1)</f>
        <v/>
      </c>
      <c r="N131" t="str">
        <f t="shared" ref="N131:N194" si="22">IF(D131=0,"","Q"&amp;INT(4*( RANK(D131, IF($D$2:$D$300&lt;&gt;0, $D$2:$D$300), 0) - 1 ) / COUNTIF($D$2:$D$300,"&gt;0")) + 1)</f>
        <v/>
      </c>
      <c r="O131" t="str">
        <f t="shared" ref="O131:O194" si="23">IF(E131=0,"","Q"&amp;INT(4*( RANK(E131, IF($E$2:$E$300&lt;&gt;0, $E$2:$E$300), 0) - 1 ) / COUNTIF($E$2:$E$300,"&gt;0")) + 1)</f>
        <v>Q2</v>
      </c>
      <c r="P131" t="str">
        <f t="shared" ref="P131:P194" si="24">IF(F131=0,"","Q"&amp;INT(4*( RANK(F131, IF($F$2:$F$300&lt;&gt;0, $F$2:$F$300), 0) - 1 ) / COUNTIF($F$2:$F$300,"&gt;0")) + 1)</f>
        <v/>
      </c>
      <c r="Q131" t="str">
        <f t="shared" ref="Q131:Q194" si="25">IF(G131=0,"","Q"&amp;INT(4*( RANK(G131, IF($G$2:$G$300&lt;&gt;0, $G$2:$G$300), 0) - 1 ) / COUNTIF($G$2:$G$300,"&gt;0")) + 1)</f>
        <v/>
      </c>
      <c r="R131" t="str">
        <f t="shared" ref="R131:R194" si="26">IF(H131=0,"","Q"&amp;INT(4*( RANK(H131, IF($H$2:$H$300&lt;&gt;0, $H$2:$H$300), 0) - 1 ) / COUNTIF($H$2:$H$300,"&gt;0")) + 1)</f>
        <v/>
      </c>
      <c r="S131" t="str">
        <f t="shared" ref="S131:S194" si="27">IF(I131=0,"","Q"&amp;INT(4*( RANK(I131, IF($I$2:$I$300&lt;&gt;0, $I$2:$I$300), 0) - 1 ) / COUNTIF($I$2:$I$300,"&gt;0")) + 1)</f>
        <v/>
      </c>
      <c r="T131" t="str">
        <f t="shared" ref="T131:T194" si="28">IF(J131=0,"","Q"&amp;INT(4*( RANK(J131, IF($J$2:$J$300&lt;&gt;0, $J$2:$J$300), 0) - 1 ) / COUNTIF($J$2:$J$300,"&gt;0")) + 1)</f>
        <v/>
      </c>
      <c r="U131" t="str">
        <f t="shared" ref="U131:U194" si="29">IF(K131=0,"","Q"&amp;INT(4*( RANK(K131, IF($K$2:$K$300&lt;&gt;0, $K$2:$K$300), 0) - 1 ) / COUNTIF($K$2:$K$300,"&gt;0")) + 1)</f>
        <v/>
      </c>
    </row>
    <row r="132" spans="1:21" x14ac:dyDescent="0.2">
      <c r="A132" s="8" t="s">
        <v>188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6.9767441860465101E-2</v>
      </c>
      <c r="K132" s="2">
        <v>0</v>
      </c>
      <c r="L132" t="str">
        <f t="shared" si="20"/>
        <v/>
      </c>
      <c r="M132" t="str">
        <f t="shared" si="21"/>
        <v/>
      </c>
      <c r="N132" t="str">
        <f t="shared" si="22"/>
        <v/>
      </c>
      <c r="O132" t="str">
        <f t="shared" si="23"/>
        <v/>
      </c>
      <c r="P132" t="str">
        <f t="shared" si="24"/>
        <v/>
      </c>
      <c r="Q132" t="str">
        <f t="shared" si="25"/>
        <v/>
      </c>
      <c r="R132" t="str">
        <f t="shared" si="26"/>
        <v/>
      </c>
      <c r="S132" t="str">
        <f t="shared" si="27"/>
        <v/>
      </c>
      <c r="T132" t="str">
        <f t="shared" si="28"/>
        <v>Q2</v>
      </c>
      <c r="U132" t="str">
        <f t="shared" si="29"/>
        <v/>
      </c>
    </row>
    <row r="133" spans="1:21" x14ac:dyDescent="0.2">
      <c r="A133" s="8" t="s">
        <v>189</v>
      </c>
      <c r="B133" s="2">
        <v>0</v>
      </c>
      <c r="C133" s="2">
        <v>0</v>
      </c>
      <c r="D133" s="2">
        <v>0</v>
      </c>
      <c r="E133" s="2">
        <v>1.26050420168067E-2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t="str">
        <f t="shared" si="20"/>
        <v/>
      </c>
      <c r="M133" t="str">
        <f t="shared" si="21"/>
        <v/>
      </c>
      <c r="N133" t="str">
        <f t="shared" si="22"/>
        <v/>
      </c>
      <c r="O133" t="str">
        <f t="shared" si="23"/>
        <v>Q2</v>
      </c>
      <c r="P133" t="str">
        <f t="shared" si="24"/>
        <v/>
      </c>
      <c r="Q133" t="str">
        <f t="shared" si="25"/>
        <v/>
      </c>
      <c r="R133" t="str">
        <f t="shared" si="26"/>
        <v/>
      </c>
      <c r="S133" t="str">
        <f t="shared" si="27"/>
        <v/>
      </c>
      <c r="T133" t="str">
        <f t="shared" si="28"/>
        <v/>
      </c>
      <c r="U133" t="str">
        <f t="shared" si="29"/>
        <v/>
      </c>
    </row>
    <row r="134" spans="1:21" x14ac:dyDescent="0.2">
      <c r="A134" s="8" t="s">
        <v>190</v>
      </c>
      <c r="B134" s="2">
        <v>0</v>
      </c>
      <c r="C134" s="2">
        <v>0</v>
      </c>
      <c r="D134" s="2">
        <v>0</v>
      </c>
      <c r="E134" s="2">
        <v>4.2016806722688996E-3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t="str">
        <f t="shared" si="20"/>
        <v/>
      </c>
      <c r="M134" t="str">
        <f t="shared" si="21"/>
        <v/>
      </c>
      <c r="N134" t="str">
        <f t="shared" si="22"/>
        <v/>
      </c>
      <c r="O134" t="str">
        <f t="shared" si="23"/>
        <v>Q4</v>
      </c>
      <c r="P134" t="str">
        <f t="shared" si="24"/>
        <v/>
      </c>
      <c r="Q134" t="str">
        <f t="shared" si="25"/>
        <v/>
      </c>
      <c r="R134" t="str">
        <f t="shared" si="26"/>
        <v/>
      </c>
      <c r="S134" t="str">
        <f t="shared" si="27"/>
        <v/>
      </c>
      <c r="T134" t="str">
        <f t="shared" si="28"/>
        <v/>
      </c>
      <c r="U134" t="str">
        <f t="shared" si="29"/>
        <v/>
      </c>
    </row>
    <row r="135" spans="1:21" x14ac:dyDescent="0.2">
      <c r="A135" t="s">
        <v>191</v>
      </c>
      <c r="B135" s="2">
        <v>0.6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t="str">
        <f t="shared" si="20"/>
        <v>Q2</v>
      </c>
      <c r="M135" t="str">
        <f t="shared" si="21"/>
        <v/>
      </c>
      <c r="N135" t="str">
        <f t="shared" si="22"/>
        <v/>
      </c>
      <c r="O135" t="str">
        <f t="shared" si="23"/>
        <v/>
      </c>
      <c r="P135" t="str">
        <f t="shared" si="24"/>
        <v/>
      </c>
      <c r="Q135" t="str">
        <f t="shared" si="25"/>
        <v/>
      </c>
      <c r="R135" t="str">
        <f t="shared" si="26"/>
        <v/>
      </c>
      <c r="S135" t="str">
        <f t="shared" si="27"/>
        <v/>
      </c>
      <c r="T135" t="str">
        <f t="shared" si="28"/>
        <v/>
      </c>
      <c r="U135" t="str">
        <f t="shared" si="29"/>
        <v/>
      </c>
    </row>
    <row r="136" spans="1:21" x14ac:dyDescent="0.2">
      <c r="A136" t="s">
        <v>192</v>
      </c>
      <c r="B136" s="2">
        <v>0</v>
      </c>
      <c r="C136" s="2">
        <v>0</v>
      </c>
      <c r="D136" s="2">
        <v>0</v>
      </c>
      <c r="E136" s="2">
        <v>4.2016806722688996E-3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t="str">
        <f t="shared" si="20"/>
        <v/>
      </c>
      <c r="M136" t="str">
        <f t="shared" si="21"/>
        <v/>
      </c>
      <c r="N136" t="str">
        <f t="shared" si="22"/>
        <v/>
      </c>
      <c r="O136" t="str">
        <f t="shared" si="23"/>
        <v>Q4</v>
      </c>
      <c r="P136" t="str">
        <f t="shared" si="24"/>
        <v/>
      </c>
      <c r="Q136" t="str">
        <f t="shared" si="25"/>
        <v/>
      </c>
      <c r="R136" t="str">
        <f t="shared" si="26"/>
        <v/>
      </c>
      <c r="S136" t="str">
        <f t="shared" si="27"/>
        <v/>
      </c>
      <c r="T136" t="str">
        <f t="shared" si="28"/>
        <v/>
      </c>
      <c r="U136" t="str">
        <f t="shared" si="29"/>
        <v/>
      </c>
    </row>
    <row r="137" spans="1:21" x14ac:dyDescent="0.2">
      <c r="A137" t="s">
        <v>193</v>
      </c>
      <c r="B137" s="2">
        <v>0</v>
      </c>
      <c r="C137" s="2">
        <v>0</v>
      </c>
      <c r="D137" s="2">
        <v>4.7619047619047603E-2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t="str">
        <f t="shared" si="20"/>
        <v/>
      </c>
      <c r="M137" t="str">
        <f t="shared" si="21"/>
        <v/>
      </c>
      <c r="N137" t="str">
        <f t="shared" si="22"/>
        <v>Q4</v>
      </c>
      <c r="O137" t="str">
        <f t="shared" si="23"/>
        <v/>
      </c>
      <c r="P137" t="str">
        <f t="shared" si="24"/>
        <v/>
      </c>
      <c r="Q137" t="str">
        <f t="shared" si="25"/>
        <v/>
      </c>
      <c r="R137" t="str">
        <f t="shared" si="26"/>
        <v/>
      </c>
      <c r="S137" t="str">
        <f t="shared" si="27"/>
        <v/>
      </c>
      <c r="T137" t="str">
        <f t="shared" si="28"/>
        <v/>
      </c>
      <c r="U137" t="str">
        <f t="shared" si="29"/>
        <v/>
      </c>
    </row>
    <row r="138" spans="1:21" x14ac:dyDescent="0.2">
      <c r="A138" s="8" t="s">
        <v>194</v>
      </c>
      <c r="B138" s="2">
        <v>0</v>
      </c>
      <c r="C138" s="2">
        <v>0</v>
      </c>
      <c r="D138" s="2">
        <v>0</v>
      </c>
      <c r="E138" s="2">
        <v>3.3613445378151197E-2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t="str">
        <f t="shared" si="20"/>
        <v/>
      </c>
      <c r="M138" t="str">
        <f t="shared" si="21"/>
        <v/>
      </c>
      <c r="N138" t="str">
        <f t="shared" si="22"/>
        <v/>
      </c>
      <c r="O138" t="str">
        <f t="shared" si="23"/>
        <v>Q1</v>
      </c>
      <c r="P138" t="str">
        <f t="shared" si="24"/>
        <v/>
      </c>
      <c r="Q138" t="str">
        <f t="shared" si="25"/>
        <v/>
      </c>
      <c r="R138" t="str">
        <f t="shared" si="26"/>
        <v/>
      </c>
      <c r="S138" t="str">
        <f t="shared" si="27"/>
        <v/>
      </c>
      <c r="T138" t="str">
        <f t="shared" si="28"/>
        <v/>
      </c>
      <c r="U138" t="str">
        <f t="shared" si="29"/>
        <v/>
      </c>
    </row>
    <row r="139" spans="1:21" x14ac:dyDescent="0.2">
      <c r="A139" s="8" t="s">
        <v>195</v>
      </c>
      <c r="B139" s="2">
        <v>0</v>
      </c>
      <c r="C139" s="2">
        <v>0</v>
      </c>
      <c r="D139" s="2">
        <v>0</v>
      </c>
      <c r="E139" s="2">
        <v>8.4033613445378096E-3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t="str">
        <f t="shared" si="20"/>
        <v/>
      </c>
      <c r="M139" t="str">
        <f t="shared" si="21"/>
        <v/>
      </c>
      <c r="N139" t="str">
        <f t="shared" si="22"/>
        <v/>
      </c>
      <c r="O139" t="str">
        <f t="shared" si="23"/>
        <v>Q3</v>
      </c>
      <c r="P139" t="str">
        <f t="shared" si="24"/>
        <v/>
      </c>
      <c r="Q139" t="str">
        <f t="shared" si="25"/>
        <v/>
      </c>
      <c r="R139" t="str">
        <f t="shared" si="26"/>
        <v/>
      </c>
      <c r="S139" t="str">
        <f t="shared" si="27"/>
        <v/>
      </c>
      <c r="T139" t="str">
        <f t="shared" si="28"/>
        <v/>
      </c>
      <c r="U139" t="str">
        <f t="shared" si="29"/>
        <v/>
      </c>
    </row>
    <row r="140" spans="1:21" x14ac:dyDescent="0.2">
      <c r="A140" t="s">
        <v>196</v>
      </c>
      <c r="B140" s="2">
        <v>0</v>
      </c>
      <c r="C140" s="2">
        <v>0</v>
      </c>
      <c r="D140" s="2">
        <v>0</v>
      </c>
      <c r="E140" s="2">
        <v>3.7815126050420103E-2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t="str">
        <f t="shared" si="20"/>
        <v/>
      </c>
      <c r="M140" t="str">
        <f t="shared" si="21"/>
        <v/>
      </c>
      <c r="N140" t="str">
        <f t="shared" si="22"/>
        <v/>
      </c>
      <c r="O140" t="str">
        <f t="shared" si="23"/>
        <v>Q1</v>
      </c>
      <c r="P140" t="str">
        <f t="shared" si="24"/>
        <v/>
      </c>
      <c r="Q140" t="str">
        <f t="shared" si="25"/>
        <v/>
      </c>
      <c r="R140" t="str">
        <f t="shared" si="26"/>
        <v/>
      </c>
      <c r="S140" t="str">
        <f t="shared" si="27"/>
        <v/>
      </c>
      <c r="T140" t="str">
        <f t="shared" si="28"/>
        <v/>
      </c>
      <c r="U140" t="str">
        <f t="shared" si="29"/>
        <v/>
      </c>
    </row>
    <row r="141" spans="1:21" x14ac:dyDescent="0.2">
      <c r="A141" s="8" t="s">
        <v>197</v>
      </c>
      <c r="B141" s="2">
        <v>0</v>
      </c>
      <c r="C141" s="2">
        <v>0.5</v>
      </c>
      <c r="D141" s="2">
        <v>4.7619047619047603E-2</v>
      </c>
      <c r="E141" s="2">
        <v>0.121848739495798</v>
      </c>
      <c r="F141" s="2">
        <v>0.38461538461538403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t="str">
        <f t="shared" si="20"/>
        <v/>
      </c>
      <c r="M141" t="str">
        <f t="shared" si="21"/>
        <v>Q2</v>
      </c>
      <c r="N141" t="str">
        <f t="shared" si="22"/>
        <v>Q4</v>
      </c>
      <c r="O141" t="str">
        <f t="shared" si="23"/>
        <v>Q1</v>
      </c>
      <c r="P141" t="str">
        <f t="shared" si="24"/>
        <v>Q1</v>
      </c>
      <c r="Q141" t="str">
        <f t="shared" si="25"/>
        <v/>
      </c>
      <c r="R141" t="str">
        <f t="shared" si="26"/>
        <v/>
      </c>
      <c r="S141" t="str">
        <f t="shared" si="27"/>
        <v/>
      </c>
      <c r="T141" t="str">
        <f t="shared" si="28"/>
        <v/>
      </c>
      <c r="U141" t="str">
        <f t="shared" si="29"/>
        <v/>
      </c>
    </row>
    <row r="142" spans="1:21" x14ac:dyDescent="0.2">
      <c r="A142" t="s">
        <v>198</v>
      </c>
      <c r="B142" s="2">
        <v>0</v>
      </c>
      <c r="C142" s="2">
        <v>0</v>
      </c>
      <c r="D142" s="2">
        <v>0</v>
      </c>
      <c r="E142" s="2">
        <v>2.5210084033613401E-2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t="str">
        <f t="shared" si="20"/>
        <v/>
      </c>
      <c r="M142" t="str">
        <f t="shared" si="21"/>
        <v/>
      </c>
      <c r="N142" t="str">
        <f t="shared" si="22"/>
        <v/>
      </c>
      <c r="O142" t="str">
        <f t="shared" si="23"/>
        <v>Q1</v>
      </c>
      <c r="P142" t="str">
        <f t="shared" si="24"/>
        <v/>
      </c>
      <c r="Q142" t="str">
        <f t="shared" si="25"/>
        <v/>
      </c>
      <c r="R142" t="str">
        <f t="shared" si="26"/>
        <v/>
      </c>
      <c r="S142" t="str">
        <f t="shared" si="27"/>
        <v/>
      </c>
      <c r="T142" t="str">
        <f t="shared" si="28"/>
        <v/>
      </c>
      <c r="U142" t="str">
        <f t="shared" si="29"/>
        <v/>
      </c>
    </row>
    <row r="143" spans="1:21" x14ac:dyDescent="0.2">
      <c r="A143" s="8" t="s">
        <v>199</v>
      </c>
      <c r="B143" s="2">
        <v>0</v>
      </c>
      <c r="C143" s="2">
        <v>0</v>
      </c>
      <c r="D143" s="2">
        <v>0</v>
      </c>
      <c r="E143" s="2">
        <v>4.2016806722689003E-2</v>
      </c>
      <c r="F143" s="2">
        <v>7.69230769230769E-2</v>
      </c>
      <c r="G143" s="2">
        <v>0</v>
      </c>
      <c r="H143" s="2">
        <v>0</v>
      </c>
      <c r="I143" s="2">
        <v>0</v>
      </c>
      <c r="J143" s="2">
        <v>9.3023255813953404E-2</v>
      </c>
      <c r="K143" s="2">
        <v>0</v>
      </c>
      <c r="L143" t="str">
        <f t="shared" si="20"/>
        <v/>
      </c>
      <c r="M143" t="str">
        <f t="shared" si="21"/>
        <v/>
      </c>
      <c r="N143" t="str">
        <f t="shared" si="22"/>
        <v/>
      </c>
      <c r="O143" t="str">
        <f t="shared" si="23"/>
        <v>Q1</v>
      </c>
      <c r="P143" t="str">
        <f t="shared" si="24"/>
        <v>Q2</v>
      </c>
      <c r="Q143" t="str">
        <f t="shared" si="25"/>
        <v/>
      </c>
      <c r="R143" t="str">
        <f t="shared" si="26"/>
        <v/>
      </c>
      <c r="S143" t="str">
        <f t="shared" si="27"/>
        <v/>
      </c>
      <c r="T143" t="str">
        <f t="shared" si="28"/>
        <v>Q2</v>
      </c>
      <c r="U143" t="str">
        <f t="shared" si="29"/>
        <v/>
      </c>
    </row>
    <row r="144" spans="1:21" x14ac:dyDescent="0.2">
      <c r="A144" t="s">
        <v>200</v>
      </c>
      <c r="B144" s="2">
        <v>0</v>
      </c>
      <c r="C144" s="2">
        <v>0</v>
      </c>
      <c r="D144" s="2">
        <v>0</v>
      </c>
      <c r="E144" s="2">
        <v>4.2016806722688996E-3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t="str">
        <f t="shared" si="20"/>
        <v/>
      </c>
      <c r="M144" t="str">
        <f t="shared" si="21"/>
        <v/>
      </c>
      <c r="N144" t="str">
        <f t="shared" si="22"/>
        <v/>
      </c>
      <c r="O144" t="str">
        <f t="shared" si="23"/>
        <v>Q4</v>
      </c>
      <c r="P144" t="str">
        <f t="shared" si="24"/>
        <v/>
      </c>
      <c r="Q144" t="str">
        <f t="shared" si="25"/>
        <v/>
      </c>
      <c r="R144" t="str">
        <f t="shared" si="26"/>
        <v/>
      </c>
      <c r="S144" t="str">
        <f t="shared" si="27"/>
        <v/>
      </c>
      <c r="T144" t="str">
        <f t="shared" si="28"/>
        <v/>
      </c>
      <c r="U144" t="str">
        <f t="shared" si="29"/>
        <v/>
      </c>
    </row>
    <row r="145" spans="1:21" x14ac:dyDescent="0.2">
      <c r="A145" t="s">
        <v>201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t="str">
        <f t="shared" si="20"/>
        <v/>
      </c>
      <c r="M145" t="str">
        <f t="shared" si="21"/>
        <v/>
      </c>
      <c r="N145" t="str">
        <f t="shared" si="22"/>
        <v/>
      </c>
      <c r="O145" t="str">
        <f t="shared" si="23"/>
        <v/>
      </c>
      <c r="P145" t="str">
        <f t="shared" si="24"/>
        <v/>
      </c>
      <c r="Q145" t="str">
        <f t="shared" si="25"/>
        <v/>
      </c>
      <c r="R145" t="str">
        <f t="shared" si="26"/>
        <v/>
      </c>
      <c r="S145" t="str">
        <f t="shared" si="27"/>
        <v>Q1</v>
      </c>
      <c r="T145" t="str">
        <f t="shared" si="28"/>
        <v/>
      </c>
      <c r="U145" t="str">
        <f t="shared" si="29"/>
        <v/>
      </c>
    </row>
    <row r="146" spans="1:21" x14ac:dyDescent="0.2">
      <c r="A146" t="s">
        <v>202</v>
      </c>
      <c r="B146" s="2">
        <v>0</v>
      </c>
      <c r="C146" s="2">
        <v>0</v>
      </c>
      <c r="D146" s="2">
        <v>0</v>
      </c>
      <c r="E146" s="2">
        <v>8.4033613445378096E-3</v>
      </c>
      <c r="F146" s="2">
        <v>3.8461538461538401E-2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t="str">
        <f t="shared" si="20"/>
        <v/>
      </c>
      <c r="M146" t="str">
        <f t="shared" si="21"/>
        <v/>
      </c>
      <c r="N146" t="str">
        <f t="shared" si="22"/>
        <v/>
      </c>
      <c r="O146" t="str">
        <f t="shared" si="23"/>
        <v>Q3</v>
      </c>
      <c r="P146" t="str">
        <f t="shared" si="24"/>
        <v>Q4</v>
      </c>
      <c r="Q146" t="str">
        <f t="shared" si="25"/>
        <v/>
      </c>
      <c r="R146" t="str">
        <f t="shared" si="26"/>
        <v/>
      </c>
      <c r="S146" t="str">
        <f t="shared" si="27"/>
        <v/>
      </c>
      <c r="T146" t="str">
        <f t="shared" si="28"/>
        <v/>
      </c>
      <c r="U146" t="str">
        <f t="shared" si="29"/>
        <v/>
      </c>
    </row>
    <row r="147" spans="1:21" x14ac:dyDescent="0.2">
      <c r="A147" t="s">
        <v>203</v>
      </c>
      <c r="B147" s="2">
        <v>0</v>
      </c>
      <c r="C147" s="2">
        <v>0</v>
      </c>
      <c r="D147" s="2">
        <v>0</v>
      </c>
      <c r="E147" s="2">
        <v>0</v>
      </c>
      <c r="F147" s="2">
        <v>3.8461538461538401E-2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t="str">
        <f t="shared" si="20"/>
        <v/>
      </c>
      <c r="M147" t="str">
        <f t="shared" si="21"/>
        <v/>
      </c>
      <c r="N147" t="str">
        <f t="shared" si="22"/>
        <v/>
      </c>
      <c r="O147" t="str">
        <f t="shared" si="23"/>
        <v/>
      </c>
      <c r="P147" t="str">
        <f t="shared" si="24"/>
        <v>Q4</v>
      </c>
      <c r="Q147" t="str">
        <f t="shared" si="25"/>
        <v/>
      </c>
      <c r="R147" t="str">
        <f t="shared" si="26"/>
        <v/>
      </c>
      <c r="S147" t="str">
        <f t="shared" si="27"/>
        <v/>
      </c>
      <c r="T147" t="str">
        <f t="shared" si="28"/>
        <v/>
      </c>
      <c r="U147" t="str">
        <f t="shared" si="29"/>
        <v/>
      </c>
    </row>
    <row r="148" spans="1:21" x14ac:dyDescent="0.2">
      <c r="A148" t="s">
        <v>204</v>
      </c>
      <c r="B148" s="2">
        <v>0</v>
      </c>
      <c r="C148" s="2">
        <v>0</v>
      </c>
      <c r="D148" s="2">
        <v>0</v>
      </c>
      <c r="E148" s="2">
        <v>4.2016806722688996E-3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t="str">
        <f t="shared" si="20"/>
        <v/>
      </c>
      <c r="M148" t="str">
        <f t="shared" si="21"/>
        <v/>
      </c>
      <c r="N148" t="str">
        <f t="shared" si="22"/>
        <v/>
      </c>
      <c r="O148" t="str">
        <f t="shared" si="23"/>
        <v>Q4</v>
      </c>
      <c r="P148" t="str">
        <f t="shared" si="24"/>
        <v/>
      </c>
      <c r="Q148" t="str">
        <f t="shared" si="25"/>
        <v/>
      </c>
      <c r="R148" t="str">
        <f t="shared" si="26"/>
        <v/>
      </c>
      <c r="S148" t="str">
        <f t="shared" si="27"/>
        <v/>
      </c>
      <c r="T148" t="str">
        <f t="shared" si="28"/>
        <v/>
      </c>
      <c r="U148" t="str">
        <f t="shared" si="29"/>
        <v/>
      </c>
    </row>
    <row r="149" spans="1:21" x14ac:dyDescent="0.2">
      <c r="A149" t="s">
        <v>205</v>
      </c>
      <c r="B149" s="2">
        <v>0</v>
      </c>
      <c r="C149" s="2">
        <v>0</v>
      </c>
      <c r="D149" s="2">
        <v>0</v>
      </c>
      <c r="E149" s="2">
        <v>1.6806722689075598E-2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t="str">
        <f t="shared" si="20"/>
        <v/>
      </c>
      <c r="M149" t="str">
        <f t="shared" si="21"/>
        <v/>
      </c>
      <c r="N149" t="str">
        <f t="shared" si="22"/>
        <v/>
      </c>
      <c r="O149" t="str">
        <f t="shared" si="23"/>
        <v>Q2</v>
      </c>
      <c r="P149" t="str">
        <f t="shared" si="24"/>
        <v/>
      </c>
      <c r="Q149" t="str">
        <f t="shared" si="25"/>
        <v/>
      </c>
      <c r="R149" t="str">
        <f t="shared" si="26"/>
        <v/>
      </c>
      <c r="S149" t="str">
        <f t="shared" si="27"/>
        <v/>
      </c>
      <c r="T149" t="str">
        <f t="shared" si="28"/>
        <v/>
      </c>
      <c r="U149" t="str">
        <f t="shared" si="29"/>
        <v/>
      </c>
    </row>
    <row r="150" spans="1:21" x14ac:dyDescent="0.2">
      <c r="A150" t="s">
        <v>206</v>
      </c>
      <c r="B150" s="2">
        <v>0</v>
      </c>
      <c r="C150" s="2">
        <v>0</v>
      </c>
      <c r="D150" s="2">
        <v>0</v>
      </c>
      <c r="E150" s="2">
        <v>0</v>
      </c>
      <c r="F150" s="2">
        <v>0.115384615384615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t="str">
        <f t="shared" si="20"/>
        <v/>
      </c>
      <c r="M150" t="str">
        <f t="shared" si="21"/>
        <v/>
      </c>
      <c r="N150" t="str">
        <f t="shared" si="22"/>
        <v/>
      </c>
      <c r="O150" t="str">
        <f t="shared" si="23"/>
        <v/>
      </c>
      <c r="P150" t="str">
        <f t="shared" si="24"/>
        <v>Q2</v>
      </c>
      <c r="Q150" t="str">
        <f t="shared" si="25"/>
        <v/>
      </c>
      <c r="R150" t="str">
        <f t="shared" si="26"/>
        <v/>
      </c>
      <c r="S150" t="str">
        <f t="shared" si="27"/>
        <v/>
      </c>
      <c r="T150" t="str">
        <f t="shared" si="28"/>
        <v/>
      </c>
      <c r="U150" t="str">
        <f t="shared" si="29"/>
        <v/>
      </c>
    </row>
    <row r="151" spans="1:21" x14ac:dyDescent="0.2">
      <c r="A151" t="s">
        <v>207</v>
      </c>
      <c r="B151" s="2">
        <v>0</v>
      </c>
      <c r="C151" s="2">
        <v>0</v>
      </c>
      <c r="D151" s="2">
        <v>0</v>
      </c>
      <c r="E151" s="2">
        <v>8.4033613445378096E-3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t="str">
        <f t="shared" si="20"/>
        <v/>
      </c>
      <c r="M151" t="str">
        <f t="shared" si="21"/>
        <v/>
      </c>
      <c r="N151" t="str">
        <f t="shared" si="22"/>
        <v/>
      </c>
      <c r="O151" t="str">
        <f t="shared" si="23"/>
        <v>Q3</v>
      </c>
      <c r="P151" t="str">
        <f t="shared" si="24"/>
        <v/>
      </c>
      <c r="Q151" t="str">
        <f t="shared" si="25"/>
        <v/>
      </c>
      <c r="R151" t="str">
        <f t="shared" si="26"/>
        <v/>
      </c>
      <c r="S151" t="str">
        <f t="shared" si="27"/>
        <v/>
      </c>
      <c r="T151" t="str">
        <f t="shared" si="28"/>
        <v/>
      </c>
      <c r="U151" t="str">
        <f t="shared" si="29"/>
        <v/>
      </c>
    </row>
    <row r="152" spans="1:21" x14ac:dyDescent="0.2">
      <c r="A152" t="s">
        <v>208</v>
      </c>
      <c r="B152" s="2">
        <v>0</v>
      </c>
      <c r="C152" s="2">
        <v>0</v>
      </c>
      <c r="D152" s="2">
        <v>0</v>
      </c>
      <c r="E152" s="2">
        <v>8.4033613445378096E-3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t="str">
        <f t="shared" si="20"/>
        <v/>
      </c>
      <c r="M152" t="str">
        <f t="shared" si="21"/>
        <v/>
      </c>
      <c r="N152" t="str">
        <f t="shared" si="22"/>
        <v/>
      </c>
      <c r="O152" t="str">
        <f t="shared" si="23"/>
        <v>Q3</v>
      </c>
      <c r="P152" t="str">
        <f t="shared" si="24"/>
        <v/>
      </c>
      <c r="Q152" t="str">
        <f t="shared" si="25"/>
        <v/>
      </c>
      <c r="R152" t="str">
        <f t="shared" si="26"/>
        <v/>
      </c>
      <c r="S152" t="str">
        <f t="shared" si="27"/>
        <v/>
      </c>
      <c r="T152" t="str">
        <f t="shared" si="28"/>
        <v/>
      </c>
      <c r="U152" t="str">
        <f t="shared" si="29"/>
        <v/>
      </c>
    </row>
    <row r="153" spans="1:21" x14ac:dyDescent="0.2">
      <c r="A153" t="s">
        <v>209</v>
      </c>
      <c r="B153" s="2">
        <v>0</v>
      </c>
      <c r="C153" s="2">
        <v>0</v>
      </c>
      <c r="D153" s="2">
        <v>0</v>
      </c>
      <c r="E153" s="2">
        <v>8.4033613445378096E-3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t="str">
        <f t="shared" si="20"/>
        <v/>
      </c>
      <c r="M153" t="str">
        <f t="shared" si="21"/>
        <v/>
      </c>
      <c r="N153" t="str">
        <f t="shared" si="22"/>
        <v/>
      </c>
      <c r="O153" t="str">
        <f t="shared" si="23"/>
        <v>Q3</v>
      </c>
      <c r="P153" t="str">
        <f t="shared" si="24"/>
        <v/>
      </c>
      <c r="Q153" t="str">
        <f t="shared" si="25"/>
        <v/>
      </c>
      <c r="R153" t="str">
        <f t="shared" si="26"/>
        <v/>
      </c>
      <c r="S153" t="str">
        <f t="shared" si="27"/>
        <v/>
      </c>
      <c r="T153" t="str">
        <f t="shared" si="28"/>
        <v/>
      </c>
      <c r="U153" t="str">
        <f t="shared" si="29"/>
        <v/>
      </c>
    </row>
    <row r="154" spans="1:21" x14ac:dyDescent="0.2">
      <c r="A154" t="s">
        <v>210</v>
      </c>
      <c r="B154" s="2">
        <v>0</v>
      </c>
      <c r="C154" s="2">
        <v>0</v>
      </c>
      <c r="D154" s="2">
        <v>0</v>
      </c>
      <c r="E154" s="2">
        <v>1.26050420168067E-2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t="str">
        <f t="shared" si="20"/>
        <v/>
      </c>
      <c r="M154" t="str">
        <f t="shared" si="21"/>
        <v/>
      </c>
      <c r="N154" t="str">
        <f t="shared" si="22"/>
        <v/>
      </c>
      <c r="O154" t="str">
        <f t="shared" si="23"/>
        <v>Q2</v>
      </c>
      <c r="P154" t="str">
        <f t="shared" si="24"/>
        <v/>
      </c>
      <c r="Q154" t="str">
        <f t="shared" si="25"/>
        <v/>
      </c>
      <c r="R154" t="str">
        <f t="shared" si="26"/>
        <v/>
      </c>
      <c r="S154" t="str">
        <f t="shared" si="27"/>
        <v/>
      </c>
      <c r="T154" t="str">
        <f t="shared" si="28"/>
        <v/>
      </c>
      <c r="U154" t="str">
        <f t="shared" si="29"/>
        <v/>
      </c>
    </row>
    <row r="155" spans="1:21" x14ac:dyDescent="0.2">
      <c r="A155" t="s">
        <v>211</v>
      </c>
      <c r="B155" s="2">
        <v>0</v>
      </c>
      <c r="C155" s="2">
        <v>0</v>
      </c>
      <c r="D155" s="2">
        <v>0</v>
      </c>
      <c r="E155" s="2">
        <v>1.6806722689075598E-2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t="str">
        <f t="shared" si="20"/>
        <v/>
      </c>
      <c r="M155" t="str">
        <f t="shared" si="21"/>
        <v/>
      </c>
      <c r="N155" t="str">
        <f t="shared" si="22"/>
        <v/>
      </c>
      <c r="O155" t="str">
        <f t="shared" si="23"/>
        <v>Q2</v>
      </c>
      <c r="P155" t="str">
        <f t="shared" si="24"/>
        <v/>
      </c>
      <c r="Q155" t="str">
        <f t="shared" si="25"/>
        <v/>
      </c>
      <c r="R155" t="str">
        <f t="shared" si="26"/>
        <v/>
      </c>
      <c r="S155" t="str">
        <f t="shared" si="27"/>
        <v/>
      </c>
      <c r="T155" t="str">
        <f t="shared" si="28"/>
        <v/>
      </c>
      <c r="U155" t="str">
        <f t="shared" si="29"/>
        <v/>
      </c>
    </row>
    <row r="156" spans="1:21" x14ac:dyDescent="0.2">
      <c r="A156" t="s">
        <v>212</v>
      </c>
      <c r="B156" s="2">
        <v>0</v>
      </c>
      <c r="C156" s="2">
        <v>0</v>
      </c>
      <c r="D156" s="2">
        <v>0</v>
      </c>
      <c r="E156" s="2">
        <v>1.26050420168067E-2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t="str">
        <f t="shared" si="20"/>
        <v/>
      </c>
      <c r="M156" t="str">
        <f t="shared" si="21"/>
        <v/>
      </c>
      <c r="N156" t="str">
        <f t="shared" si="22"/>
        <v/>
      </c>
      <c r="O156" t="str">
        <f t="shared" si="23"/>
        <v>Q2</v>
      </c>
      <c r="P156" t="str">
        <f t="shared" si="24"/>
        <v/>
      </c>
      <c r="Q156" t="str">
        <f t="shared" si="25"/>
        <v/>
      </c>
      <c r="R156" t="str">
        <f t="shared" si="26"/>
        <v/>
      </c>
      <c r="S156" t="str">
        <f t="shared" si="27"/>
        <v/>
      </c>
      <c r="T156" t="str">
        <f t="shared" si="28"/>
        <v/>
      </c>
      <c r="U156" t="str">
        <f t="shared" si="29"/>
        <v/>
      </c>
    </row>
    <row r="157" spans="1:21" x14ac:dyDescent="0.2">
      <c r="A157" t="s">
        <v>213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9.3023255813953404E-2</v>
      </c>
      <c r="K157" s="2">
        <v>0</v>
      </c>
      <c r="L157" t="str">
        <f t="shared" si="20"/>
        <v/>
      </c>
      <c r="M157" t="str">
        <f t="shared" si="21"/>
        <v/>
      </c>
      <c r="N157" t="str">
        <f t="shared" si="22"/>
        <v/>
      </c>
      <c r="O157" t="str">
        <f t="shared" si="23"/>
        <v/>
      </c>
      <c r="P157" t="str">
        <f t="shared" si="24"/>
        <v/>
      </c>
      <c r="Q157" t="str">
        <f t="shared" si="25"/>
        <v/>
      </c>
      <c r="R157" t="str">
        <f t="shared" si="26"/>
        <v/>
      </c>
      <c r="S157" t="str">
        <f t="shared" si="27"/>
        <v/>
      </c>
      <c r="T157" t="str">
        <f t="shared" si="28"/>
        <v>Q2</v>
      </c>
      <c r="U157" t="str">
        <f t="shared" si="29"/>
        <v/>
      </c>
    </row>
    <row r="158" spans="1:21" x14ac:dyDescent="0.2">
      <c r="A158" t="s">
        <v>214</v>
      </c>
      <c r="B158" s="2">
        <v>0</v>
      </c>
      <c r="C158" s="2">
        <v>0</v>
      </c>
      <c r="D158" s="2">
        <v>0</v>
      </c>
      <c r="E158" s="2">
        <v>8.4033613445378096E-3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t="str">
        <f t="shared" si="20"/>
        <v/>
      </c>
      <c r="M158" t="str">
        <f t="shared" si="21"/>
        <v/>
      </c>
      <c r="N158" t="str">
        <f t="shared" si="22"/>
        <v/>
      </c>
      <c r="O158" t="str">
        <f t="shared" si="23"/>
        <v>Q3</v>
      </c>
      <c r="P158" t="str">
        <f t="shared" si="24"/>
        <v/>
      </c>
      <c r="Q158" t="str">
        <f t="shared" si="25"/>
        <v/>
      </c>
      <c r="R158" t="str">
        <f t="shared" si="26"/>
        <v/>
      </c>
      <c r="S158" t="str">
        <f t="shared" si="27"/>
        <v/>
      </c>
      <c r="T158" t="str">
        <f t="shared" si="28"/>
        <v/>
      </c>
      <c r="U158" t="str">
        <f t="shared" si="29"/>
        <v/>
      </c>
    </row>
    <row r="159" spans="1:21" x14ac:dyDescent="0.2">
      <c r="A159" t="s">
        <v>215</v>
      </c>
      <c r="B159" s="2">
        <v>0</v>
      </c>
      <c r="C159" s="2">
        <v>0</v>
      </c>
      <c r="D159" s="2">
        <v>0</v>
      </c>
      <c r="E159" s="2">
        <v>4.2016806722688996E-3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t="str">
        <f t="shared" si="20"/>
        <v/>
      </c>
      <c r="M159" t="str">
        <f t="shared" si="21"/>
        <v/>
      </c>
      <c r="N159" t="str">
        <f t="shared" si="22"/>
        <v/>
      </c>
      <c r="O159" t="str">
        <f t="shared" si="23"/>
        <v>Q4</v>
      </c>
      <c r="P159" t="str">
        <f t="shared" si="24"/>
        <v/>
      </c>
      <c r="Q159" t="str">
        <f t="shared" si="25"/>
        <v/>
      </c>
      <c r="R159" t="str">
        <f t="shared" si="26"/>
        <v/>
      </c>
      <c r="S159" t="str">
        <f t="shared" si="27"/>
        <v/>
      </c>
      <c r="T159" t="str">
        <f t="shared" si="28"/>
        <v/>
      </c>
      <c r="U159" t="str">
        <f t="shared" si="29"/>
        <v/>
      </c>
    </row>
    <row r="160" spans="1:21" x14ac:dyDescent="0.2">
      <c r="A160" s="8" t="s">
        <v>216</v>
      </c>
      <c r="B160" s="2">
        <v>0</v>
      </c>
      <c r="C160" s="2">
        <v>0</v>
      </c>
      <c r="D160" s="2">
        <v>0</v>
      </c>
      <c r="E160" s="2">
        <v>8.4033613445378096E-3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t="str">
        <f t="shared" si="20"/>
        <v/>
      </c>
      <c r="M160" t="str">
        <f t="shared" si="21"/>
        <v/>
      </c>
      <c r="N160" t="str">
        <f t="shared" si="22"/>
        <v/>
      </c>
      <c r="O160" t="str">
        <f t="shared" si="23"/>
        <v>Q3</v>
      </c>
      <c r="P160" t="str">
        <f t="shared" si="24"/>
        <v/>
      </c>
      <c r="Q160" t="str">
        <f t="shared" si="25"/>
        <v/>
      </c>
      <c r="R160" t="str">
        <f t="shared" si="26"/>
        <v/>
      </c>
      <c r="S160" t="str">
        <f t="shared" si="27"/>
        <v/>
      </c>
      <c r="T160" t="str">
        <f t="shared" si="28"/>
        <v/>
      </c>
      <c r="U160" t="str">
        <f t="shared" si="29"/>
        <v/>
      </c>
    </row>
    <row r="161" spans="1:21" x14ac:dyDescent="0.2">
      <c r="A161" s="8" t="s">
        <v>217</v>
      </c>
      <c r="B161" s="2">
        <v>0</v>
      </c>
      <c r="C161" s="2">
        <v>0</v>
      </c>
      <c r="D161" s="2">
        <v>0</v>
      </c>
      <c r="E161" s="2">
        <v>4.2016806722688996E-3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t="str">
        <f t="shared" si="20"/>
        <v/>
      </c>
      <c r="M161" t="str">
        <f t="shared" si="21"/>
        <v/>
      </c>
      <c r="N161" t="str">
        <f t="shared" si="22"/>
        <v/>
      </c>
      <c r="O161" t="str">
        <f t="shared" si="23"/>
        <v>Q4</v>
      </c>
      <c r="P161" t="str">
        <f t="shared" si="24"/>
        <v/>
      </c>
      <c r="Q161" t="str">
        <f t="shared" si="25"/>
        <v/>
      </c>
      <c r="R161" t="str">
        <f t="shared" si="26"/>
        <v/>
      </c>
      <c r="S161" t="str">
        <f t="shared" si="27"/>
        <v/>
      </c>
      <c r="T161" t="str">
        <f t="shared" si="28"/>
        <v/>
      </c>
      <c r="U161" t="str">
        <f t="shared" si="29"/>
        <v/>
      </c>
    </row>
    <row r="162" spans="1:21" x14ac:dyDescent="0.2">
      <c r="A162" s="8" t="s">
        <v>218</v>
      </c>
      <c r="B162" s="2">
        <v>0</v>
      </c>
      <c r="C162" s="2">
        <v>0.2</v>
      </c>
      <c r="D162" s="2">
        <v>9.5238095238095205E-2</v>
      </c>
      <c r="E162" s="2">
        <v>1.26050420168067E-2</v>
      </c>
      <c r="F162" s="2">
        <v>0</v>
      </c>
      <c r="G162" s="2">
        <v>0</v>
      </c>
      <c r="H162" s="2">
        <v>0</v>
      </c>
      <c r="I162" s="2">
        <v>0</v>
      </c>
      <c r="J162" s="2">
        <v>6.9767441860465101E-2</v>
      </c>
      <c r="K162" s="2">
        <v>0.11764705882352899</v>
      </c>
      <c r="L162" t="str">
        <f t="shared" si="20"/>
        <v/>
      </c>
      <c r="M162" t="str">
        <f t="shared" si="21"/>
        <v>Q3</v>
      </c>
      <c r="N162" t="str">
        <f t="shared" si="22"/>
        <v>Q3</v>
      </c>
      <c r="O162" t="str">
        <f t="shared" si="23"/>
        <v>Q2</v>
      </c>
      <c r="P162" t="str">
        <f t="shared" si="24"/>
        <v/>
      </c>
      <c r="Q162" t="str">
        <f t="shared" si="25"/>
        <v/>
      </c>
      <c r="R162" t="str">
        <f t="shared" si="26"/>
        <v/>
      </c>
      <c r="S162" t="str">
        <f t="shared" si="27"/>
        <v/>
      </c>
      <c r="T162" t="str">
        <f t="shared" si="28"/>
        <v>Q2</v>
      </c>
      <c r="U162" t="str">
        <f t="shared" si="29"/>
        <v>Q3</v>
      </c>
    </row>
    <row r="163" spans="1:21" x14ac:dyDescent="0.2">
      <c r="A163" t="s">
        <v>219</v>
      </c>
      <c r="B163" s="2">
        <v>0</v>
      </c>
      <c r="C163" s="2">
        <v>0</v>
      </c>
      <c r="D163" s="2">
        <v>0</v>
      </c>
      <c r="E163" s="2">
        <v>1.26050420168067E-2</v>
      </c>
      <c r="F163" s="2">
        <v>7.69230769230769E-2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t="str">
        <f t="shared" si="20"/>
        <v/>
      </c>
      <c r="M163" t="str">
        <f t="shared" si="21"/>
        <v/>
      </c>
      <c r="N163" t="str">
        <f t="shared" si="22"/>
        <v/>
      </c>
      <c r="O163" t="str">
        <f t="shared" si="23"/>
        <v>Q2</v>
      </c>
      <c r="P163" t="str">
        <f t="shared" si="24"/>
        <v>Q2</v>
      </c>
      <c r="Q163" t="str">
        <f t="shared" si="25"/>
        <v/>
      </c>
      <c r="R163" t="str">
        <f t="shared" si="26"/>
        <v/>
      </c>
      <c r="S163" t="str">
        <f t="shared" si="27"/>
        <v/>
      </c>
      <c r="T163" t="str">
        <f t="shared" si="28"/>
        <v/>
      </c>
      <c r="U163" t="str">
        <f t="shared" si="29"/>
        <v/>
      </c>
    </row>
    <row r="164" spans="1:21" x14ac:dyDescent="0.2">
      <c r="A164" s="8" t="s">
        <v>220</v>
      </c>
      <c r="B164" s="2">
        <v>0</v>
      </c>
      <c r="C164" s="2">
        <v>0</v>
      </c>
      <c r="D164" s="2">
        <v>0</v>
      </c>
      <c r="E164" s="2">
        <v>4.2016806722688996E-3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t="str">
        <f t="shared" si="20"/>
        <v/>
      </c>
      <c r="M164" t="str">
        <f t="shared" si="21"/>
        <v/>
      </c>
      <c r="N164" t="str">
        <f t="shared" si="22"/>
        <v/>
      </c>
      <c r="O164" t="str">
        <f t="shared" si="23"/>
        <v>Q4</v>
      </c>
      <c r="P164" t="str">
        <f t="shared" si="24"/>
        <v/>
      </c>
      <c r="Q164" t="str">
        <f t="shared" si="25"/>
        <v>Q1</v>
      </c>
      <c r="R164" t="str">
        <f t="shared" si="26"/>
        <v/>
      </c>
      <c r="S164" t="str">
        <f t="shared" si="27"/>
        <v/>
      </c>
      <c r="T164" t="str">
        <f t="shared" si="28"/>
        <v/>
      </c>
      <c r="U164" t="str">
        <f t="shared" si="29"/>
        <v/>
      </c>
    </row>
    <row r="165" spans="1:21" x14ac:dyDescent="0.2">
      <c r="A165" t="s">
        <v>221</v>
      </c>
      <c r="B165" s="2">
        <v>0.8</v>
      </c>
      <c r="C165" s="2">
        <v>0.7</v>
      </c>
      <c r="D165" s="2">
        <v>0</v>
      </c>
      <c r="E165" s="2">
        <v>8.8235294117646995E-2</v>
      </c>
      <c r="F165" s="2">
        <v>0</v>
      </c>
      <c r="G165" s="2">
        <v>0</v>
      </c>
      <c r="H165" s="2">
        <v>0.33333333333333298</v>
      </c>
      <c r="I165" s="2">
        <v>0</v>
      </c>
      <c r="J165" s="2">
        <v>0</v>
      </c>
      <c r="K165" s="2">
        <v>0</v>
      </c>
      <c r="L165" t="str">
        <f t="shared" si="20"/>
        <v>Q2</v>
      </c>
      <c r="M165" t="str">
        <f t="shared" si="21"/>
        <v>Q1</v>
      </c>
      <c r="N165" t="str">
        <f t="shared" si="22"/>
        <v/>
      </c>
      <c r="O165" t="str">
        <f t="shared" si="23"/>
        <v>Q1</v>
      </c>
      <c r="P165" t="str">
        <f t="shared" si="24"/>
        <v/>
      </c>
      <c r="Q165" t="str">
        <f t="shared" si="25"/>
        <v/>
      </c>
      <c r="R165" t="str">
        <f t="shared" si="26"/>
        <v>Q2</v>
      </c>
      <c r="S165" t="str">
        <f t="shared" si="27"/>
        <v/>
      </c>
      <c r="T165" t="str">
        <f t="shared" si="28"/>
        <v/>
      </c>
      <c r="U165" t="str">
        <f t="shared" si="29"/>
        <v/>
      </c>
    </row>
    <row r="166" spans="1:21" x14ac:dyDescent="0.2">
      <c r="A166" t="s">
        <v>222</v>
      </c>
      <c r="B166" s="2">
        <v>0</v>
      </c>
      <c r="C166" s="2">
        <v>0</v>
      </c>
      <c r="D166" s="2">
        <v>0</v>
      </c>
      <c r="E166" s="2">
        <v>0</v>
      </c>
      <c r="F166" s="2">
        <v>0.15384615384615299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t="str">
        <f t="shared" si="20"/>
        <v/>
      </c>
      <c r="M166" t="str">
        <f t="shared" si="21"/>
        <v/>
      </c>
      <c r="N166" t="str">
        <f t="shared" si="22"/>
        <v/>
      </c>
      <c r="O166" t="str">
        <f t="shared" si="23"/>
        <v/>
      </c>
      <c r="P166" t="str">
        <f t="shared" si="24"/>
        <v>Q1</v>
      </c>
      <c r="Q166" t="str">
        <f t="shared" si="25"/>
        <v/>
      </c>
      <c r="R166" t="str">
        <f t="shared" si="26"/>
        <v/>
      </c>
      <c r="S166" t="str">
        <f t="shared" si="27"/>
        <v/>
      </c>
      <c r="T166" t="str">
        <f t="shared" si="28"/>
        <v/>
      </c>
      <c r="U166" t="str">
        <f t="shared" si="29"/>
        <v/>
      </c>
    </row>
    <row r="167" spans="1:21" x14ac:dyDescent="0.2">
      <c r="A167" t="s">
        <v>223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4.6511627906976702E-2</v>
      </c>
      <c r="K167" s="2">
        <v>0</v>
      </c>
      <c r="L167" t="str">
        <f t="shared" si="20"/>
        <v/>
      </c>
      <c r="M167" t="str">
        <f t="shared" si="21"/>
        <v/>
      </c>
      <c r="N167" t="str">
        <f t="shared" si="22"/>
        <v/>
      </c>
      <c r="O167" t="str">
        <f t="shared" si="23"/>
        <v/>
      </c>
      <c r="P167" t="str">
        <f t="shared" si="24"/>
        <v/>
      </c>
      <c r="Q167" t="str">
        <f t="shared" si="25"/>
        <v/>
      </c>
      <c r="R167" t="str">
        <f t="shared" si="26"/>
        <v/>
      </c>
      <c r="S167" t="str">
        <f t="shared" si="27"/>
        <v/>
      </c>
      <c r="T167" t="str">
        <f t="shared" si="28"/>
        <v>Q3</v>
      </c>
      <c r="U167" t="str">
        <f t="shared" si="29"/>
        <v/>
      </c>
    </row>
    <row r="168" spans="1:21" x14ac:dyDescent="0.2">
      <c r="A168" t="s">
        <v>224</v>
      </c>
      <c r="B168" s="2">
        <v>0</v>
      </c>
      <c r="C168" s="2">
        <v>0</v>
      </c>
      <c r="D168" s="2">
        <v>0</v>
      </c>
      <c r="E168" s="2">
        <v>2.5210084033613401E-2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t="str">
        <f t="shared" si="20"/>
        <v/>
      </c>
      <c r="M168" t="str">
        <f t="shared" si="21"/>
        <v/>
      </c>
      <c r="N168" t="str">
        <f t="shared" si="22"/>
        <v/>
      </c>
      <c r="O168" t="str">
        <f t="shared" si="23"/>
        <v>Q1</v>
      </c>
      <c r="P168" t="str">
        <f t="shared" si="24"/>
        <v/>
      </c>
      <c r="Q168" t="str">
        <f t="shared" si="25"/>
        <v/>
      </c>
      <c r="R168" t="str">
        <f t="shared" si="26"/>
        <v/>
      </c>
      <c r="S168" t="str">
        <f t="shared" si="27"/>
        <v/>
      </c>
      <c r="T168" t="str">
        <f t="shared" si="28"/>
        <v/>
      </c>
      <c r="U168" t="str">
        <f t="shared" si="29"/>
        <v/>
      </c>
    </row>
    <row r="169" spans="1:21" x14ac:dyDescent="0.2">
      <c r="A169" t="s">
        <v>225</v>
      </c>
      <c r="B169" s="2">
        <v>0</v>
      </c>
      <c r="C169" s="2">
        <v>0</v>
      </c>
      <c r="D169" s="2">
        <v>0</v>
      </c>
      <c r="E169" s="2">
        <v>8.4033613445378096E-3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t="str">
        <f t="shared" si="20"/>
        <v/>
      </c>
      <c r="M169" t="str">
        <f t="shared" si="21"/>
        <v/>
      </c>
      <c r="N169" t="str">
        <f t="shared" si="22"/>
        <v/>
      </c>
      <c r="O169" t="str">
        <f t="shared" si="23"/>
        <v>Q3</v>
      </c>
      <c r="P169" t="str">
        <f t="shared" si="24"/>
        <v/>
      </c>
      <c r="Q169" t="str">
        <f t="shared" si="25"/>
        <v/>
      </c>
      <c r="R169" t="str">
        <f t="shared" si="26"/>
        <v/>
      </c>
      <c r="S169" t="str">
        <f t="shared" si="27"/>
        <v/>
      </c>
      <c r="T169" t="str">
        <f t="shared" si="28"/>
        <v/>
      </c>
      <c r="U169" t="str">
        <f t="shared" si="29"/>
        <v/>
      </c>
    </row>
    <row r="170" spans="1:21" x14ac:dyDescent="0.2">
      <c r="A170" t="s">
        <v>226</v>
      </c>
      <c r="B170" s="2">
        <v>0</v>
      </c>
      <c r="C170" s="2">
        <v>0</v>
      </c>
      <c r="D170" s="2">
        <v>9.5238095238095205E-2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t="str">
        <f t="shared" si="20"/>
        <v/>
      </c>
      <c r="M170" t="str">
        <f t="shared" si="21"/>
        <v/>
      </c>
      <c r="N170" t="str">
        <f t="shared" si="22"/>
        <v>Q3</v>
      </c>
      <c r="O170" t="str">
        <f t="shared" si="23"/>
        <v/>
      </c>
      <c r="P170" t="str">
        <f t="shared" si="24"/>
        <v/>
      </c>
      <c r="Q170" t="str">
        <f t="shared" si="25"/>
        <v/>
      </c>
      <c r="R170" t="str">
        <f t="shared" si="26"/>
        <v/>
      </c>
      <c r="S170" t="str">
        <f t="shared" si="27"/>
        <v/>
      </c>
      <c r="T170" t="str">
        <f t="shared" si="28"/>
        <v/>
      </c>
      <c r="U170" t="str">
        <f t="shared" si="29"/>
        <v/>
      </c>
    </row>
    <row r="171" spans="1:21" x14ac:dyDescent="0.2">
      <c r="A171" t="s">
        <v>227</v>
      </c>
      <c r="B171" s="2">
        <v>0</v>
      </c>
      <c r="C171" s="2">
        <v>0</v>
      </c>
      <c r="D171" s="2">
        <v>0</v>
      </c>
      <c r="E171" s="2">
        <v>8.4033613445378096E-3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t="str">
        <f t="shared" si="20"/>
        <v/>
      </c>
      <c r="M171" t="str">
        <f t="shared" si="21"/>
        <v/>
      </c>
      <c r="N171" t="str">
        <f t="shared" si="22"/>
        <v/>
      </c>
      <c r="O171" t="str">
        <f t="shared" si="23"/>
        <v>Q3</v>
      </c>
      <c r="P171" t="str">
        <f t="shared" si="24"/>
        <v/>
      </c>
      <c r="Q171" t="str">
        <f t="shared" si="25"/>
        <v/>
      </c>
      <c r="R171" t="str">
        <f t="shared" si="26"/>
        <v/>
      </c>
      <c r="S171" t="str">
        <f t="shared" si="27"/>
        <v/>
      </c>
      <c r="T171" t="str">
        <f t="shared" si="28"/>
        <v/>
      </c>
      <c r="U171" t="str">
        <f t="shared" si="29"/>
        <v/>
      </c>
    </row>
    <row r="172" spans="1:21" x14ac:dyDescent="0.2">
      <c r="A172" t="s">
        <v>228</v>
      </c>
      <c r="B172" s="2">
        <v>0</v>
      </c>
      <c r="C172" s="2">
        <v>0.6</v>
      </c>
      <c r="D172" s="2">
        <v>0</v>
      </c>
      <c r="E172" s="2">
        <v>0</v>
      </c>
      <c r="F172" s="2">
        <v>0</v>
      </c>
      <c r="G172" s="2">
        <v>0</v>
      </c>
      <c r="H172" s="2">
        <v>0.44444444444444398</v>
      </c>
      <c r="I172" s="2">
        <v>0</v>
      </c>
      <c r="J172" s="2">
        <v>0</v>
      </c>
      <c r="K172" s="2">
        <v>0</v>
      </c>
      <c r="L172" t="str">
        <f t="shared" si="20"/>
        <v/>
      </c>
      <c r="M172" t="str">
        <f t="shared" si="21"/>
        <v>Q1</v>
      </c>
      <c r="N172" t="str">
        <f t="shared" si="22"/>
        <v/>
      </c>
      <c r="O172" t="str">
        <f t="shared" si="23"/>
        <v/>
      </c>
      <c r="P172" t="str">
        <f t="shared" si="24"/>
        <v/>
      </c>
      <c r="Q172" t="str">
        <f t="shared" si="25"/>
        <v/>
      </c>
      <c r="R172" t="str">
        <f t="shared" si="26"/>
        <v>Q1</v>
      </c>
      <c r="S172" t="str">
        <f t="shared" si="27"/>
        <v/>
      </c>
      <c r="T172" t="str">
        <f t="shared" si="28"/>
        <v/>
      </c>
      <c r="U172" t="str">
        <f t="shared" si="29"/>
        <v/>
      </c>
    </row>
    <row r="173" spans="1:21" x14ac:dyDescent="0.2">
      <c r="A173" t="s">
        <v>229</v>
      </c>
      <c r="B173" s="2">
        <v>0</v>
      </c>
      <c r="C173" s="2">
        <v>0</v>
      </c>
      <c r="D173" s="2">
        <v>0</v>
      </c>
      <c r="E173" s="2">
        <v>2.5210084033613401E-2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t="str">
        <f t="shared" si="20"/>
        <v/>
      </c>
      <c r="M173" t="str">
        <f t="shared" si="21"/>
        <v/>
      </c>
      <c r="N173" t="str">
        <f t="shared" si="22"/>
        <v/>
      </c>
      <c r="O173" t="str">
        <f t="shared" si="23"/>
        <v>Q1</v>
      </c>
      <c r="P173" t="str">
        <f t="shared" si="24"/>
        <v/>
      </c>
      <c r="Q173" t="str">
        <f t="shared" si="25"/>
        <v/>
      </c>
      <c r="R173" t="str">
        <f t="shared" si="26"/>
        <v/>
      </c>
      <c r="S173" t="str">
        <f t="shared" si="27"/>
        <v/>
      </c>
      <c r="T173" t="str">
        <f t="shared" si="28"/>
        <v/>
      </c>
      <c r="U173" t="str">
        <f t="shared" si="29"/>
        <v/>
      </c>
    </row>
    <row r="174" spans="1:21" x14ac:dyDescent="0.2">
      <c r="A174" t="s">
        <v>230</v>
      </c>
      <c r="B174" s="2">
        <v>0</v>
      </c>
      <c r="C174" s="2">
        <v>0</v>
      </c>
      <c r="D174" s="2">
        <v>0</v>
      </c>
      <c r="E174" s="2">
        <v>0</v>
      </c>
      <c r="F174" s="2">
        <v>3.8461538461538401E-2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t="str">
        <f t="shared" si="20"/>
        <v/>
      </c>
      <c r="M174" t="str">
        <f t="shared" si="21"/>
        <v/>
      </c>
      <c r="N174" t="str">
        <f t="shared" si="22"/>
        <v/>
      </c>
      <c r="O174" t="str">
        <f t="shared" si="23"/>
        <v/>
      </c>
      <c r="P174" t="str">
        <f t="shared" si="24"/>
        <v>Q4</v>
      </c>
      <c r="Q174" t="str">
        <f t="shared" si="25"/>
        <v/>
      </c>
      <c r="R174" t="str">
        <f t="shared" si="26"/>
        <v/>
      </c>
      <c r="S174" t="str">
        <f t="shared" si="27"/>
        <v/>
      </c>
      <c r="T174" t="str">
        <f t="shared" si="28"/>
        <v/>
      </c>
      <c r="U174" t="str">
        <f t="shared" si="29"/>
        <v/>
      </c>
    </row>
    <row r="175" spans="1:21" x14ac:dyDescent="0.2">
      <c r="A175" t="s">
        <v>231</v>
      </c>
      <c r="B175" s="2">
        <v>0</v>
      </c>
      <c r="C175" s="2">
        <v>0</v>
      </c>
      <c r="D175" s="2">
        <v>0</v>
      </c>
      <c r="E175" s="2">
        <v>1.26050420168067E-2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t="str">
        <f t="shared" si="20"/>
        <v/>
      </c>
      <c r="M175" t="str">
        <f t="shared" si="21"/>
        <v/>
      </c>
      <c r="N175" t="str">
        <f t="shared" si="22"/>
        <v/>
      </c>
      <c r="O175" t="str">
        <f t="shared" si="23"/>
        <v>Q2</v>
      </c>
      <c r="P175" t="str">
        <f t="shared" si="24"/>
        <v/>
      </c>
      <c r="Q175" t="str">
        <f t="shared" si="25"/>
        <v/>
      </c>
      <c r="R175" t="str">
        <f t="shared" si="26"/>
        <v/>
      </c>
      <c r="S175" t="str">
        <f t="shared" si="27"/>
        <v/>
      </c>
      <c r="T175" t="str">
        <f t="shared" si="28"/>
        <v/>
      </c>
      <c r="U175" t="str">
        <f t="shared" si="29"/>
        <v/>
      </c>
    </row>
    <row r="176" spans="1:21" x14ac:dyDescent="0.2">
      <c r="A176" t="s">
        <v>232</v>
      </c>
      <c r="B176" s="2">
        <v>0</v>
      </c>
      <c r="C176" s="2">
        <v>0</v>
      </c>
      <c r="D176" s="2">
        <v>0</v>
      </c>
      <c r="E176" s="2">
        <v>7.1428571428571397E-2</v>
      </c>
      <c r="F176" s="2">
        <v>0.269230769230769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t="str">
        <f t="shared" si="20"/>
        <v/>
      </c>
      <c r="M176" t="str">
        <f t="shared" si="21"/>
        <v/>
      </c>
      <c r="N176" t="str">
        <f t="shared" si="22"/>
        <v/>
      </c>
      <c r="O176" t="str">
        <f t="shared" si="23"/>
        <v>Q1</v>
      </c>
      <c r="P176" t="str">
        <f t="shared" si="24"/>
        <v>Q1</v>
      </c>
      <c r="Q176" t="str">
        <f t="shared" si="25"/>
        <v/>
      </c>
      <c r="R176" t="str">
        <f t="shared" si="26"/>
        <v/>
      </c>
      <c r="S176" t="str">
        <f t="shared" si="27"/>
        <v/>
      </c>
      <c r="T176" t="str">
        <f t="shared" si="28"/>
        <v/>
      </c>
      <c r="U176" t="str">
        <f t="shared" si="29"/>
        <v/>
      </c>
    </row>
    <row r="177" spans="1:21" x14ac:dyDescent="0.2">
      <c r="A177" t="s">
        <v>233</v>
      </c>
      <c r="B177" s="2">
        <v>0</v>
      </c>
      <c r="C177" s="2">
        <v>0</v>
      </c>
      <c r="D177" s="2">
        <v>0.28571428571428498</v>
      </c>
      <c r="E177" s="2">
        <v>0.33193277310924302</v>
      </c>
      <c r="F177" s="2">
        <v>7.69230769230769E-2</v>
      </c>
      <c r="G177" s="2">
        <v>0</v>
      </c>
      <c r="H177" s="2">
        <v>0</v>
      </c>
      <c r="I177" s="2">
        <v>0</v>
      </c>
      <c r="J177" s="2">
        <v>0.60465116279069697</v>
      </c>
      <c r="K177" s="2">
        <v>0</v>
      </c>
      <c r="L177" t="str">
        <f t="shared" si="20"/>
        <v/>
      </c>
      <c r="M177" t="str">
        <f t="shared" si="21"/>
        <v/>
      </c>
      <c r="N177" t="str">
        <f t="shared" si="22"/>
        <v>Q1</v>
      </c>
      <c r="O177" t="str">
        <f t="shared" si="23"/>
        <v>Q1</v>
      </c>
      <c r="P177" t="str">
        <f t="shared" si="24"/>
        <v>Q2</v>
      </c>
      <c r="Q177" t="str">
        <f t="shared" si="25"/>
        <v/>
      </c>
      <c r="R177" t="str">
        <f t="shared" si="26"/>
        <v/>
      </c>
      <c r="S177" t="str">
        <f t="shared" si="27"/>
        <v/>
      </c>
      <c r="T177" t="str">
        <f t="shared" si="28"/>
        <v>Q1</v>
      </c>
      <c r="U177" t="str">
        <f t="shared" si="29"/>
        <v/>
      </c>
    </row>
    <row r="178" spans="1:21" x14ac:dyDescent="0.2">
      <c r="A178" t="s">
        <v>234</v>
      </c>
      <c r="B178" s="2">
        <v>0</v>
      </c>
      <c r="C178" s="2">
        <v>0</v>
      </c>
      <c r="D178" s="2">
        <v>0</v>
      </c>
      <c r="E178" s="2">
        <v>3.3613445378151197E-2</v>
      </c>
      <c r="F178" s="2">
        <v>0</v>
      </c>
      <c r="G178" s="2">
        <v>0</v>
      </c>
      <c r="H178" s="2">
        <v>0.33333333333333298</v>
      </c>
      <c r="I178" s="2">
        <v>0</v>
      </c>
      <c r="J178" s="2">
        <v>9.3023255813953404E-2</v>
      </c>
      <c r="K178" s="2">
        <v>0</v>
      </c>
      <c r="L178" t="str">
        <f t="shared" si="20"/>
        <v/>
      </c>
      <c r="M178" t="str">
        <f t="shared" si="21"/>
        <v/>
      </c>
      <c r="N178" t="str">
        <f t="shared" si="22"/>
        <v/>
      </c>
      <c r="O178" t="str">
        <f t="shared" si="23"/>
        <v>Q1</v>
      </c>
      <c r="P178" t="str">
        <f t="shared" si="24"/>
        <v/>
      </c>
      <c r="Q178" t="str">
        <f t="shared" si="25"/>
        <v/>
      </c>
      <c r="R178" t="str">
        <f t="shared" si="26"/>
        <v>Q2</v>
      </c>
      <c r="S178" t="str">
        <f t="shared" si="27"/>
        <v/>
      </c>
      <c r="T178" t="str">
        <f t="shared" si="28"/>
        <v>Q2</v>
      </c>
      <c r="U178" t="str">
        <f t="shared" si="29"/>
        <v/>
      </c>
    </row>
    <row r="179" spans="1:21" x14ac:dyDescent="0.2">
      <c r="A179" t="s">
        <v>235</v>
      </c>
      <c r="B179" s="2">
        <v>0</v>
      </c>
      <c r="C179" s="2">
        <v>0</v>
      </c>
      <c r="D179" s="2">
        <v>0.33333333333333298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t="str">
        <f t="shared" si="20"/>
        <v/>
      </c>
      <c r="M179" t="str">
        <f t="shared" si="21"/>
        <v/>
      </c>
      <c r="N179" t="str">
        <f t="shared" si="22"/>
        <v>Q1</v>
      </c>
      <c r="O179" t="str">
        <f t="shared" si="23"/>
        <v/>
      </c>
      <c r="P179" t="str">
        <f t="shared" si="24"/>
        <v/>
      </c>
      <c r="Q179" t="str">
        <f t="shared" si="25"/>
        <v/>
      </c>
      <c r="R179" t="str">
        <f t="shared" si="26"/>
        <v/>
      </c>
      <c r="S179" t="str">
        <f t="shared" si="27"/>
        <v/>
      </c>
      <c r="T179" t="str">
        <f t="shared" si="28"/>
        <v/>
      </c>
      <c r="U179" t="str">
        <f t="shared" si="29"/>
        <v/>
      </c>
    </row>
    <row r="180" spans="1:21" x14ac:dyDescent="0.2">
      <c r="A180" t="s">
        <v>236</v>
      </c>
      <c r="B180" s="2">
        <v>0</v>
      </c>
      <c r="C180" s="2">
        <v>0</v>
      </c>
      <c r="D180" s="2">
        <v>0</v>
      </c>
      <c r="E180" s="2">
        <v>1.6806722689075598E-2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t="str">
        <f t="shared" si="20"/>
        <v/>
      </c>
      <c r="M180" t="str">
        <f t="shared" si="21"/>
        <v/>
      </c>
      <c r="N180" t="str">
        <f t="shared" si="22"/>
        <v/>
      </c>
      <c r="O180" t="str">
        <f t="shared" si="23"/>
        <v>Q2</v>
      </c>
      <c r="P180" t="str">
        <f t="shared" si="24"/>
        <v/>
      </c>
      <c r="Q180" t="str">
        <f t="shared" si="25"/>
        <v/>
      </c>
      <c r="R180" t="str">
        <f t="shared" si="26"/>
        <v/>
      </c>
      <c r="S180" t="str">
        <f t="shared" si="27"/>
        <v/>
      </c>
      <c r="T180" t="str">
        <f t="shared" si="28"/>
        <v/>
      </c>
      <c r="U180" t="str">
        <f t="shared" si="29"/>
        <v/>
      </c>
    </row>
    <row r="181" spans="1:21" x14ac:dyDescent="0.2">
      <c r="A181" t="s">
        <v>237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0</v>
      </c>
      <c r="K181" s="2">
        <v>0</v>
      </c>
      <c r="L181" t="str">
        <f t="shared" si="20"/>
        <v/>
      </c>
      <c r="M181" t="str">
        <f t="shared" si="21"/>
        <v/>
      </c>
      <c r="N181" t="str">
        <f t="shared" si="22"/>
        <v/>
      </c>
      <c r="O181" t="str">
        <f t="shared" si="23"/>
        <v/>
      </c>
      <c r="P181" t="str">
        <f t="shared" si="24"/>
        <v/>
      </c>
      <c r="Q181" t="str">
        <f t="shared" si="25"/>
        <v/>
      </c>
      <c r="R181" t="str">
        <f t="shared" si="26"/>
        <v>Q1</v>
      </c>
      <c r="S181" t="str">
        <f t="shared" si="27"/>
        <v/>
      </c>
      <c r="T181" t="str">
        <f t="shared" si="28"/>
        <v/>
      </c>
      <c r="U181" t="str">
        <f t="shared" si="29"/>
        <v/>
      </c>
    </row>
    <row r="182" spans="1:21" x14ac:dyDescent="0.2">
      <c r="A182" s="8" t="s">
        <v>238</v>
      </c>
      <c r="B182" s="2">
        <v>0</v>
      </c>
      <c r="C182" s="2">
        <v>0</v>
      </c>
      <c r="D182" s="2">
        <v>0</v>
      </c>
      <c r="E182" s="2">
        <v>1.6806722689075598E-2</v>
      </c>
      <c r="F182" s="2">
        <v>0.38461538461538403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t="str">
        <f t="shared" si="20"/>
        <v/>
      </c>
      <c r="M182" t="str">
        <f t="shared" si="21"/>
        <v/>
      </c>
      <c r="N182" t="str">
        <f t="shared" si="22"/>
        <v/>
      </c>
      <c r="O182" t="str">
        <f t="shared" si="23"/>
        <v>Q2</v>
      </c>
      <c r="P182" t="str">
        <f t="shared" si="24"/>
        <v>Q1</v>
      </c>
      <c r="Q182" t="str">
        <f t="shared" si="25"/>
        <v/>
      </c>
      <c r="R182" t="str">
        <f t="shared" si="26"/>
        <v/>
      </c>
      <c r="S182" t="str">
        <f t="shared" si="27"/>
        <v/>
      </c>
      <c r="T182" t="str">
        <f t="shared" si="28"/>
        <v/>
      </c>
      <c r="U182" t="str">
        <f t="shared" si="29"/>
        <v/>
      </c>
    </row>
    <row r="183" spans="1:21" x14ac:dyDescent="0.2">
      <c r="A183" s="8" t="s">
        <v>239</v>
      </c>
      <c r="B183" s="2">
        <v>0</v>
      </c>
      <c r="C183" s="2">
        <v>0</v>
      </c>
      <c r="D183" s="2">
        <v>0</v>
      </c>
      <c r="E183" s="2">
        <v>0</v>
      </c>
      <c r="F183" s="2">
        <v>7.69230769230769E-2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t="str">
        <f t="shared" si="20"/>
        <v/>
      </c>
      <c r="M183" t="str">
        <f t="shared" si="21"/>
        <v/>
      </c>
      <c r="N183" t="str">
        <f t="shared" si="22"/>
        <v/>
      </c>
      <c r="O183" t="str">
        <f t="shared" si="23"/>
        <v/>
      </c>
      <c r="P183" t="str">
        <f t="shared" si="24"/>
        <v>Q2</v>
      </c>
      <c r="Q183" t="str">
        <f t="shared" si="25"/>
        <v/>
      </c>
      <c r="R183" t="str">
        <f t="shared" si="26"/>
        <v/>
      </c>
      <c r="S183" t="str">
        <f t="shared" si="27"/>
        <v/>
      </c>
      <c r="T183" t="str">
        <f t="shared" si="28"/>
        <v/>
      </c>
      <c r="U183" t="str">
        <f t="shared" si="29"/>
        <v/>
      </c>
    </row>
    <row r="184" spans="1:21" x14ac:dyDescent="0.2">
      <c r="A184" t="s">
        <v>240</v>
      </c>
      <c r="B184" s="2">
        <v>0</v>
      </c>
      <c r="C184" s="2">
        <v>0</v>
      </c>
      <c r="D184" s="2">
        <v>0</v>
      </c>
      <c r="E184" s="2">
        <v>1.26050420168067E-2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t="str">
        <f t="shared" si="20"/>
        <v/>
      </c>
      <c r="M184" t="str">
        <f t="shared" si="21"/>
        <v/>
      </c>
      <c r="N184" t="str">
        <f t="shared" si="22"/>
        <v/>
      </c>
      <c r="O184" t="str">
        <f t="shared" si="23"/>
        <v>Q2</v>
      </c>
      <c r="P184" t="str">
        <f t="shared" si="24"/>
        <v/>
      </c>
      <c r="Q184" t="str">
        <f t="shared" si="25"/>
        <v/>
      </c>
      <c r="R184" t="str">
        <f t="shared" si="26"/>
        <v/>
      </c>
      <c r="S184" t="str">
        <f t="shared" si="27"/>
        <v/>
      </c>
      <c r="T184" t="str">
        <f t="shared" si="28"/>
        <v/>
      </c>
      <c r="U184" t="str">
        <f t="shared" si="29"/>
        <v/>
      </c>
    </row>
    <row r="185" spans="1:21" x14ac:dyDescent="0.2">
      <c r="A185" t="s">
        <v>241</v>
      </c>
      <c r="B185" s="2">
        <v>0</v>
      </c>
      <c r="C185" s="2">
        <v>0</v>
      </c>
      <c r="D185" s="2">
        <v>0</v>
      </c>
      <c r="E185" s="2">
        <v>8.4033613445378096E-3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t="str">
        <f t="shared" si="20"/>
        <v/>
      </c>
      <c r="M185" t="str">
        <f t="shared" si="21"/>
        <v/>
      </c>
      <c r="N185" t="str">
        <f t="shared" si="22"/>
        <v/>
      </c>
      <c r="O185" t="str">
        <f t="shared" si="23"/>
        <v>Q3</v>
      </c>
      <c r="P185" t="str">
        <f t="shared" si="24"/>
        <v/>
      </c>
      <c r="Q185" t="str">
        <f t="shared" si="25"/>
        <v/>
      </c>
      <c r="R185" t="str">
        <f t="shared" si="26"/>
        <v/>
      </c>
      <c r="S185" t="str">
        <f t="shared" si="27"/>
        <v/>
      </c>
      <c r="T185" t="str">
        <f t="shared" si="28"/>
        <v/>
      </c>
      <c r="U185" t="str">
        <f t="shared" si="29"/>
        <v/>
      </c>
    </row>
    <row r="186" spans="1:21" x14ac:dyDescent="0.2">
      <c r="A186" t="s">
        <v>242</v>
      </c>
      <c r="B186" s="2">
        <v>0</v>
      </c>
      <c r="C186" s="2">
        <v>0</v>
      </c>
      <c r="D186" s="2">
        <v>0</v>
      </c>
      <c r="E186" s="2">
        <v>4.2016806722688996E-3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t="str">
        <f t="shared" si="20"/>
        <v/>
      </c>
      <c r="M186" t="str">
        <f t="shared" si="21"/>
        <v/>
      </c>
      <c r="N186" t="str">
        <f t="shared" si="22"/>
        <v/>
      </c>
      <c r="O186" t="str">
        <f t="shared" si="23"/>
        <v>Q4</v>
      </c>
      <c r="P186" t="str">
        <f t="shared" si="24"/>
        <v/>
      </c>
      <c r="Q186" t="str">
        <f t="shared" si="25"/>
        <v/>
      </c>
      <c r="R186" t="str">
        <f t="shared" si="26"/>
        <v/>
      </c>
      <c r="S186" t="str">
        <f t="shared" si="27"/>
        <v/>
      </c>
      <c r="T186" t="str">
        <f t="shared" si="28"/>
        <v/>
      </c>
      <c r="U186" t="str">
        <f t="shared" si="29"/>
        <v/>
      </c>
    </row>
    <row r="187" spans="1:21" x14ac:dyDescent="0.2">
      <c r="A187" t="s">
        <v>243</v>
      </c>
      <c r="B187" s="2">
        <v>0</v>
      </c>
      <c r="C187" s="2">
        <v>0</v>
      </c>
      <c r="D187" s="2">
        <v>0</v>
      </c>
      <c r="E187" s="2">
        <v>4.2016806722688996E-3</v>
      </c>
      <c r="F187" s="2">
        <v>0.15384615384615299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t="str">
        <f t="shared" si="20"/>
        <v/>
      </c>
      <c r="M187" t="str">
        <f t="shared" si="21"/>
        <v/>
      </c>
      <c r="N187" t="str">
        <f t="shared" si="22"/>
        <v/>
      </c>
      <c r="O187" t="str">
        <f t="shared" si="23"/>
        <v>Q4</v>
      </c>
      <c r="P187" t="str">
        <f t="shared" si="24"/>
        <v>Q1</v>
      </c>
      <c r="Q187" t="str">
        <f t="shared" si="25"/>
        <v/>
      </c>
      <c r="R187" t="str">
        <f t="shared" si="26"/>
        <v/>
      </c>
      <c r="S187" t="str">
        <f t="shared" si="27"/>
        <v/>
      </c>
      <c r="T187" t="str">
        <f t="shared" si="28"/>
        <v/>
      </c>
      <c r="U187" t="str">
        <f t="shared" si="29"/>
        <v/>
      </c>
    </row>
    <row r="188" spans="1:21" x14ac:dyDescent="0.2">
      <c r="A188" t="s">
        <v>244</v>
      </c>
      <c r="B188" s="2">
        <v>0</v>
      </c>
      <c r="C188" s="2">
        <v>0</v>
      </c>
      <c r="D188" s="2">
        <v>0</v>
      </c>
      <c r="E188" s="2">
        <v>0</v>
      </c>
      <c r="F188" s="2">
        <v>7.69230769230769E-2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t="str">
        <f t="shared" si="20"/>
        <v/>
      </c>
      <c r="M188" t="str">
        <f t="shared" si="21"/>
        <v/>
      </c>
      <c r="N188" t="str">
        <f t="shared" si="22"/>
        <v/>
      </c>
      <c r="O188" t="str">
        <f t="shared" si="23"/>
        <v/>
      </c>
      <c r="P188" t="str">
        <f t="shared" si="24"/>
        <v>Q2</v>
      </c>
      <c r="Q188" t="str">
        <f t="shared" si="25"/>
        <v/>
      </c>
      <c r="R188" t="str">
        <f t="shared" si="26"/>
        <v/>
      </c>
      <c r="S188" t="str">
        <f t="shared" si="27"/>
        <v/>
      </c>
      <c r="T188" t="str">
        <f t="shared" si="28"/>
        <v/>
      </c>
      <c r="U188" t="str">
        <f t="shared" si="29"/>
        <v/>
      </c>
    </row>
    <row r="189" spans="1:21" x14ac:dyDescent="0.2">
      <c r="A189" t="s">
        <v>245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0.17647058823529399</v>
      </c>
      <c r="L189" t="str">
        <f t="shared" si="20"/>
        <v/>
      </c>
      <c r="M189" t="str">
        <f t="shared" si="21"/>
        <v/>
      </c>
      <c r="N189" t="str">
        <f t="shared" si="22"/>
        <v/>
      </c>
      <c r="O189" t="str">
        <f t="shared" si="23"/>
        <v/>
      </c>
      <c r="P189" t="str">
        <f t="shared" si="24"/>
        <v/>
      </c>
      <c r="Q189" t="str">
        <f t="shared" si="25"/>
        <v/>
      </c>
      <c r="R189" t="str">
        <f t="shared" si="26"/>
        <v/>
      </c>
      <c r="S189" t="str">
        <f t="shared" si="27"/>
        <v/>
      </c>
      <c r="T189" t="str">
        <f t="shared" si="28"/>
        <v/>
      </c>
      <c r="U189" t="str">
        <f t="shared" si="29"/>
        <v>Q2</v>
      </c>
    </row>
    <row r="190" spans="1:21" x14ac:dyDescent="0.2">
      <c r="A190" t="s">
        <v>246</v>
      </c>
      <c r="B190" s="2">
        <v>0</v>
      </c>
      <c r="C190" s="2">
        <v>0</v>
      </c>
      <c r="D190" s="2">
        <v>0</v>
      </c>
      <c r="E190" s="2">
        <v>2.1008403361344501E-2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0.17647058823529399</v>
      </c>
      <c r="L190" t="str">
        <f t="shared" si="20"/>
        <v/>
      </c>
      <c r="M190" t="str">
        <f t="shared" si="21"/>
        <v/>
      </c>
      <c r="N190" t="str">
        <f t="shared" si="22"/>
        <v/>
      </c>
      <c r="O190" t="str">
        <f t="shared" si="23"/>
        <v>Q2</v>
      </c>
      <c r="P190" t="str">
        <f t="shared" si="24"/>
        <v/>
      </c>
      <c r="Q190" t="str">
        <f t="shared" si="25"/>
        <v/>
      </c>
      <c r="R190" t="str">
        <f t="shared" si="26"/>
        <v/>
      </c>
      <c r="S190" t="str">
        <f t="shared" si="27"/>
        <v/>
      </c>
      <c r="T190" t="str">
        <f t="shared" si="28"/>
        <v/>
      </c>
      <c r="U190" t="str">
        <f t="shared" si="29"/>
        <v>Q2</v>
      </c>
    </row>
    <row r="191" spans="1:21" x14ac:dyDescent="0.2">
      <c r="A191" t="s">
        <v>247</v>
      </c>
      <c r="B191" s="2">
        <v>0.6</v>
      </c>
      <c r="C191" s="2">
        <v>1</v>
      </c>
      <c r="D191" s="2">
        <v>0.238095238095238</v>
      </c>
      <c r="E191" s="2">
        <v>0.83193277310924296</v>
      </c>
      <c r="F191" s="2">
        <v>0.46153846153846101</v>
      </c>
      <c r="G191" s="2">
        <v>0</v>
      </c>
      <c r="H191" s="2">
        <v>1.1111111111111101</v>
      </c>
      <c r="I191" s="2">
        <v>0</v>
      </c>
      <c r="J191" s="2">
        <v>0.30232558139534799</v>
      </c>
      <c r="K191" s="2">
        <v>0.17647058823529399</v>
      </c>
      <c r="L191" t="str">
        <f t="shared" si="20"/>
        <v>Q2</v>
      </c>
      <c r="M191" t="str">
        <f t="shared" si="21"/>
        <v>Q1</v>
      </c>
      <c r="N191" t="str">
        <f t="shared" si="22"/>
        <v>Q2</v>
      </c>
      <c r="O191" t="str">
        <f t="shared" si="23"/>
        <v>Q1</v>
      </c>
      <c r="P191" t="str">
        <f t="shared" si="24"/>
        <v>Q1</v>
      </c>
      <c r="Q191" t="str">
        <f t="shared" si="25"/>
        <v/>
      </c>
      <c r="R191" t="str">
        <f t="shared" si="26"/>
        <v>Q1</v>
      </c>
      <c r="S191" t="str">
        <f t="shared" si="27"/>
        <v/>
      </c>
      <c r="T191" t="str">
        <f t="shared" si="28"/>
        <v>Q1</v>
      </c>
      <c r="U191" t="str">
        <f t="shared" si="29"/>
        <v>Q2</v>
      </c>
    </row>
    <row r="192" spans="1:21" x14ac:dyDescent="0.2">
      <c r="A192" t="s">
        <v>248</v>
      </c>
      <c r="B192" s="2">
        <v>0</v>
      </c>
      <c r="C192" s="2">
        <v>0</v>
      </c>
      <c r="D192" s="2">
        <v>0</v>
      </c>
      <c r="E192" s="2">
        <v>8.4033613445378096E-3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t="str">
        <f t="shared" si="20"/>
        <v/>
      </c>
      <c r="M192" t="str">
        <f t="shared" si="21"/>
        <v/>
      </c>
      <c r="N192" t="str">
        <f t="shared" si="22"/>
        <v/>
      </c>
      <c r="O192" t="str">
        <f t="shared" si="23"/>
        <v>Q3</v>
      </c>
      <c r="P192" t="str">
        <f t="shared" si="24"/>
        <v/>
      </c>
      <c r="Q192" t="str">
        <f t="shared" si="25"/>
        <v/>
      </c>
      <c r="R192" t="str">
        <f t="shared" si="26"/>
        <v/>
      </c>
      <c r="S192" t="str">
        <f t="shared" si="27"/>
        <v/>
      </c>
      <c r="T192" t="str">
        <f t="shared" si="28"/>
        <v/>
      </c>
      <c r="U192" t="str">
        <f t="shared" si="29"/>
        <v/>
      </c>
    </row>
    <row r="193" spans="1:21" x14ac:dyDescent="0.2">
      <c r="A193" t="s">
        <v>249</v>
      </c>
      <c r="B193" s="2">
        <v>0</v>
      </c>
      <c r="C193" s="2">
        <v>0</v>
      </c>
      <c r="D193" s="2">
        <v>0</v>
      </c>
      <c r="E193" s="2">
        <v>8.4033613445378096E-3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t="str">
        <f t="shared" si="20"/>
        <v/>
      </c>
      <c r="M193" t="str">
        <f t="shared" si="21"/>
        <v/>
      </c>
      <c r="N193" t="str">
        <f t="shared" si="22"/>
        <v/>
      </c>
      <c r="O193" t="str">
        <f t="shared" si="23"/>
        <v>Q3</v>
      </c>
      <c r="P193" t="str">
        <f t="shared" si="24"/>
        <v/>
      </c>
      <c r="Q193" t="str">
        <f t="shared" si="25"/>
        <v/>
      </c>
      <c r="R193" t="str">
        <f t="shared" si="26"/>
        <v/>
      </c>
      <c r="S193" t="str">
        <f t="shared" si="27"/>
        <v/>
      </c>
      <c r="T193" t="str">
        <f t="shared" si="28"/>
        <v/>
      </c>
      <c r="U193" t="str">
        <f t="shared" si="29"/>
        <v/>
      </c>
    </row>
    <row r="194" spans="1:21" x14ac:dyDescent="0.2">
      <c r="A194" t="s">
        <v>250</v>
      </c>
      <c r="B194" s="2">
        <v>0</v>
      </c>
      <c r="C194" s="2">
        <v>0</v>
      </c>
      <c r="D194" s="2">
        <v>0</v>
      </c>
      <c r="E194" s="2">
        <v>3.7815126050420103E-2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t="str">
        <f t="shared" si="20"/>
        <v/>
      </c>
      <c r="M194" t="str">
        <f t="shared" si="21"/>
        <v/>
      </c>
      <c r="N194" t="str">
        <f t="shared" si="22"/>
        <v/>
      </c>
      <c r="O194" t="str">
        <f t="shared" si="23"/>
        <v>Q1</v>
      </c>
      <c r="P194" t="str">
        <f t="shared" si="24"/>
        <v/>
      </c>
      <c r="Q194" t="str">
        <f t="shared" si="25"/>
        <v/>
      </c>
      <c r="R194" t="str">
        <f t="shared" si="26"/>
        <v/>
      </c>
      <c r="S194" t="str">
        <f t="shared" si="27"/>
        <v/>
      </c>
      <c r="T194" t="str">
        <f t="shared" si="28"/>
        <v/>
      </c>
      <c r="U194" t="str">
        <f t="shared" si="29"/>
        <v/>
      </c>
    </row>
    <row r="195" spans="1:21" x14ac:dyDescent="0.2">
      <c r="A195" t="s">
        <v>251</v>
      </c>
      <c r="B195" s="2">
        <v>0</v>
      </c>
      <c r="C195" s="2">
        <v>0</v>
      </c>
      <c r="D195" s="2">
        <v>0</v>
      </c>
      <c r="E195" s="2">
        <v>8.4033613445378096E-3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t="str">
        <f t="shared" ref="L195:L258" si="30">IF(B195=0,"","Q"&amp;INT(4*( RANK(B195, IF($B$2:$B$300&lt;&gt;0, $B$2:$B$300), 0) - 1 ) / COUNTIF($B$2:$B$300,"&gt;0")) + 1)</f>
        <v/>
      </c>
      <c r="M195" t="str">
        <f t="shared" ref="M195:M258" si="31">IF(C195=0,"","Q"&amp;INT(4*( RANK(C195, IF($C$2:$C$300&lt;&gt;0, $C$2:$C$300), 0) - 1 ) / COUNTIF($C$2:$C$300,"&gt;0")) + 1)</f>
        <v/>
      </c>
      <c r="N195" t="str">
        <f t="shared" ref="N195:N258" si="32">IF(D195=0,"","Q"&amp;INT(4*( RANK(D195, IF($D$2:$D$300&lt;&gt;0, $D$2:$D$300), 0) - 1 ) / COUNTIF($D$2:$D$300,"&gt;0")) + 1)</f>
        <v/>
      </c>
      <c r="O195" t="str">
        <f t="shared" ref="O195:O258" si="33">IF(E195=0,"","Q"&amp;INT(4*( RANK(E195, IF($E$2:$E$300&lt;&gt;0, $E$2:$E$300), 0) - 1 ) / COUNTIF($E$2:$E$300,"&gt;0")) + 1)</f>
        <v>Q3</v>
      </c>
      <c r="P195" t="str">
        <f t="shared" ref="P195:P258" si="34">IF(F195=0,"","Q"&amp;INT(4*( RANK(F195, IF($F$2:$F$300&lt;&gt;0, $F$2:$F$300), 0) - 1 ) / COUNTIF($F$2:$F$300,"&gt;0")) + 1)</f>
        <v/>
      </c>
      <c r="Q195" t="str">
        <f t="shared" ref="Q195:Q258" si="35">IF(G195=0,"","Q"&amp;INT(4*( RANK(G195, IF($G$2:$G$300&lt;&gt;0, $G$2:$G$300), 0) - 1 ) / COUNTIF($G$2:$G$300,"&gt;0")) + 1)</f>
        <v/>
      </c>
      <c r="R195" t="str">
        <f t="shared" ref="R195:R258" si="36">IF(H195=0,"","Q"&amp;INT(4*( RANK(H195, IF($H$2:$H$300&lt;&gt;0, $H$2:$H$300), 0) - 1 ) / COUNTIF($H$2:$H$300,"&gt;0")) + 1)</f>
        <v/>
      </c>
      <c r="S195" t="str">
        <f t="shared" ref="S195:S258" si="37">IF(I195=0,"","Q"&amp;INT(4*( RANK(I195, IF($I$2:$I$300&lt;&gt;0, $I$2:$I$300), 0) - 1 ) / COUNTIF($I$2:$I$300,"&gt;0")) + 1)</f>
        <v/>
      </c>
      <c r="T195" t="str">
        <f t="shared" ref="T195:T258" si="38">IF(J195=0,"","Q"&amp;INT(4*( RANK(J195, IF($J$2:$J$300&lt;&gt;0, $J$2:$J$300), 0) - 1 ) / COUNTIF($J$2:$J$300,"&gt;0")) + 1)</f>
        <v/>
      </c>
      <c r="U195" t="str">
        <f t="shared" ref="U195:U258" si="39">IF(K195=0,"","Q"&amp;INT(4*( RANK(K195, IF($K$2:$K$300&lt;&gt;0, $K$2:$K$300), 0) - 1 ) / COUNTIF($K$2:$K$300,"&gt;0")) + 1)</f>
        <v/>
      </c>
    </row>
    <row r="196" spans="1:21" x14ac:dyDescent="0.2">
      <c r="A196" t="s">
        <v>252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4.6511627906976702E-2</v>
      </c>
      <c r="K196" s="2">
        <v>0</v>
      </c>
      <c r="L196" t="str">
        <f t="shared" si="30"/>
        <v/>
      </c>
      <c r="M196" t="str">
        <f t="shared" si="31"/>
        <v/>
      </c>
      <c r="N196" t="str">
        <f t="shared" si="32"/>
        <v/>
      </c>
      <c r="O196" t="str">
        <f t="shared" si="33"/>
        <v/>
      </c>
      <c r="P196" t="str">
        <f t="shared" si="34"/>
        <v/>
      </c>
      <c r="Q196" t="str">
        <f t="shared" si="35"/>
        <v/>
      </c>
      <c r="R196" t="str">
        <f t="shared" si="36"/>
        <v/>
      </c>
      <c r="S196" t="str">
        <f t="shared" si="37"/>
        <v/>
      </c>
      <c r="T196" t="str">
        <f t="shared" si="38"/>
        <v>Q3</v>
      </c>
      <c r="U196" t="str">
        <f t="shared" si="39"/>
        <v/>
      </c>
    </row>
    <row r="197" spans="1:21" x14ac:dyDescent="0.2">
      <c r="A197" t="s">
        <v>253</v>
      </c>
      <c r="B197" s="2">
        <v>0</v>
      </c>
      <c r="C197" s="2">
        <v>0</v>
      </c>
      <c r="D197" s="2">
        <v>0</v>
      </c>
      <c r="E197" s="2">
        <v>8.4033613445378096E-3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t="str">
        <f t="shared" si="30"/>
        <v/>
      </c>
      <c r="M197" t="str">
        <f t="shared" si="31"/>
        <v/>
      </c>
      <c r="N197" t="str">
        <f t="shared" si="32"/>
        <v/>
      </c>
      <c r="O197" t="str">
        <f t="shared" si="33"/>
        <v>Q3</v>
      </c>
      <c r="P197" t="str">
        <f t="shared" si="34"/>
        <v/>
      </c>
      <c r="Q197" t="str">
        <f t="shared" si="35"/>
        <v/>
      </c>
      <c r="R197" t="str">
        <f t="shared" si="36"/>
        <v/>
      </c>
      <c r="S197" t="str">
        <f t="shared" si="37"/>
        <v/>
      </c>
      <c r="T197" t="str">
        <f t="shared" si="38"/>
        <v/>
      </c>
      <c r="U197" t="str">
        <f t="shared" si="39"/>
        <v/>
      </c>
    </row>
    <row r="198" spans="1:21" x14ac:dyDescent="0.2">
      <c r="A198" t="s">
        <v>254</v>
      </c>
      <c r="B198" s="2">
        <v>0</v>
      </c>
      <c r="C198" s="2">
        <v>0</v>
      </c>
      <c r="D198" s="2">
        <v>0</v>
      </c>
      <c r="E198" s="2">
        <v>8.4033613445378096E-3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t="str">
        <f t="shared" si="30"/>
        <v/>
      </c>
      <c r="M198" t="str">
        <f t="shared" si="31"/>
        <v/>
      </c>
      <c r="N198" t="str">
        <f t="shared" si="32"/>
        <v/>
      </c>
      <c r="O198" t="str">
        <f t="shared" si="33"/>
        <v>Q3</v>
      </c>
      <c r="P198" t="str">
        <f t="shared" si="34"/>
        <v/>
      </c>
      <c r="Q198" t="str">
        <f t="shared" si="35"/>
        <v/>
      </c>
      <c r="R198" t="str">
        <f t="shared" si="36"/>
        <v/>
      </c>
      <c r="S198" t="str">
        <f t="shared" si="37"/>
        <v/>
      </c>
      <c r="T198" t="str">
        <f t="shared" si="38"/>
        <v/>
      </c>
      <c r="U198" t="str">
        <f t="shared" si="39"/>
        <v/>
      </c>
    </row>
    <row r="199" spans="1:21" x14ac:dyDescent="0.2">
      <c r="A199" t="s">
        <v>255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2.3255813953488299E-2</v>
      </c>
      <c r="K199" s="2">
        <v>0</v>
      </c>
      <c r="L199" t="str">
        <f t="shared" si="30"/>
        <v/>
      </c>
      <c r="M199" t="str">
        <f t="shared" si="31"/>
        <v/>
      </c>
      <c r="N199" t="str">
        <f t="shared" si="32"/>
        <v/>
      </c>
      <c r="O199" t="str">
        <f t="shared" si="33"/>
        <v/>
      </c>
      <c r="P199" t="str">
        <f t="shared" si="34"/>
        <v/>
      </c>
      <c r="Q199" t="str">
        <f t="shared" si="35"/>
        <v/>
      </c>
      <c r="R199" t="str">
        <f t="shared" si="36"/>
        <v/>
      </c>
      <c r="S199" t="str">
        <f t="shared" si="37"/>
        <v/>
      </c>
      <c r="T199" t="str">
        <f t="shared" si="38"/>
        <v>Q4</v>
      </c>
      <c r="U199" t="str">
        <f t="shared" si="39"/>
        <v/>
      </c>
    </row>
    <row r="200" spans="1:21" x14ac:dyDescent="0.2">
      <c r="A200" t="s">
        <v>256</v>
      </c>
      <c r="B200" s="2">
        <v>0</v>
      </c>
      <c r="C200" s="2">
        <v>0.2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t="str">
        <f t="shared" si="30"/>
        <v/>
      </c>
      <c r="M200" t="str">
        <f t="shared" si="31"/>
        <v>Q3</v>
      </c>
      <c r="N200" t="str">
        <f t="shared" si="32"/>
        <v/>
      </c>
      <c r="O200" t="str">
        <f t="shared" si="33"/>
        <v/>
      </c>
      <c r="P200" t="str">
        <f t="shared" si="34"/>
        <v/>
      </c>
      <c r="Q200" t="str">
        <f t="shared" si="35"/>
        <v/>
      </c>
      <c r="R200" t="str">
        <f t="shared" si="36"/>
        <v/>
      </c>
      <c r="S200" t="str">
        <f t="shared" si="37"/>
        <v/>
      </c>
      <c r="T200" t="str">
        <f t="shared" si="38"/>
        <v/>
      </c>
      <c r="U200" t="str">
        <f t="shared" si="39"/>
        <v/>
      </c>
    </row>
    <row r="201" spans="1:21" x14ac:dyDescent="0.2">
      <c r="A201" s="8" t="s">
        <v>257</v>
      </c>
      <c r="B201" s="2">
        <v>0</v>
      </c>
      <c r="C201" s="2">
        <v>0</v>
      </c>
      <c r="D201" s="2">
        <v>0</v>
      </c>
      <c r="E201" s="2">
        <v>8.8235294117646995E-2</v>
      </c>
      <c r="F201" s="2">
        <v>0.115384615384615</v>
      </c>
      <c r="G201" s="2">
        <v>0</v>
      </c>
      <c r="H201" s="2">
        <v>0</v>
      </c>
      <c r="I201" s="2">
        <v>0</v>
      </c>
      <c r="J201" s="2">
        <v>4.6511627906976702E-2</v>
      </c>
      <c r="K201" s="2">
        <v>0.17647058823529399</v>
      </c>
      <c r="L201" t="str">
        <f t="shared" si="30"/>
        <v/>
      </c>
      <c r="M201" t="str">
        <f t="shared" si="31"/>
        <v/>
      </c>
      <c r="N201" t="str">
        <f t="shared" si="32"/>
        <v/>
      </c>
      <c r="O201" t="str">
        <f t="shared" si="33"/>
        <v>Q1</v>
      </c>
      <c r="P201" t="str">
        <f t="shared" si="34"/>
        <v>Q2</v>
      </c>
      <c r="Q201" t="str">
        <f t="shared" si="35"/>
        <v/>
      </c>
      <c r="R201" t="str">
        <f t="shared" si="36"/>
        <v/>
      </c>
      <c r="S201" t="str">
        <f t="shared" si="37"/>
        <v/>
      </c>
      <c r="T201" t="str">
        <f t="shared" si="38"/>
        <v>Q3</v>
      </c>
      <c r="U201" t="str">
        <f t="shared" si="39"/>
        <v>Q2</v>
      </c>
    </row>
    <row r="202" spans="1:21" x14ac:dyDescent="0.2">
      <c r="A202" s="8" t="s">
        <v>258</v>
      </c>
      <c r="B202" s="2">
        <v>0</v>
      </c>
      <c r="C202" s="2">
        <v>0</v>
      </c>
      <c r="D202" s="2">
        <v>0</v>
      </c>
      <c r="E202" s="2">
        <v>4.2016806722688996E-3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t="str">
        <f t="shared" si="30"/>
        <v/>
      </c>
      <c r="M202" t="str">
        <f t="shared" si="31"/>
        <v/>
      </c>
      <c r="N202" t="str">
        <f t="shared" si="32"/>
        <v/>
      </c>
      <c r="O202" t="str">
        <f t="shared" si="33"/>
        <v>Q4</v>
      </c>
      <c r="P202" t="str">
        <f t="shared" si="34"/>
        <v/>
      </c>
      <c r="Q202" t="str">
        <f t="shared" si="35"/>
        <v/>
      </c>
      <c r="R202" t="str">
        <f t="shared" si="36"/>
        <v/>
      </c>
      <c r="S202" t="str">
        <f t="shared" si="37"/>
        <v/>
      </c>
      <c r="T202" t="str">
        <f t="shared" si="38"/>
        <v/>
      </c>
      <c r="U202" t="str">
        <f t="shared" si="39"/>
        <v/>
      </c>
    </row>
    <row r="203" spans="1:21" x14ac:dyDescent="0.2">
      <c r="A203" t="s">
        <v>259</v>
      </c>
      <c r="B203" s="2">
        <v>1</v>
      </c>
      <c r="C203" s="2">
        <v>0.2</v>
      </c>
      <c r="D203" s="2">
        <v>0.38095238095237999</v>
      </c>
      <c r="E203" s="2">
        <v>0.14285714285714199</v>
      </c>
      <c r="F203" s="2">
        <v>0</v>
      </c>
      <c r="G203" s="2">
        <v>0</v>
      </c>
      <c r="H203" s="2">
        <v>0.33333333333333298</v>
      </c>
      <c r="I203" s="2">
        <v>0</v>
      </c>
      <c r="J203" s="2">
        <v>0.186046511627906</v>
      </c>
      <c r="K203" s="2">
        <v>0</v>
      </c>
      <c r="L203" t="str">
        <f t="shared" si="30"/>
        <v>Q1</v>
      </c>
      <c r="M203" t="str">
        <f t="shared" si="31"/>
        <v>Q3</v>
      </c>
      <c r="N203" t="str">
        <f t="shared" si="32"/>
        <v>Q1</v>
      </c>
      <c r="O203" t="str">
        <f t="shared" si="33"/>
        <v>Q1</v>
      </c>
      <c r="P203" t="str">
        <f t="shared" si="34"/>
        <v/>
      </c>
      <c r="Q203" t="str">
        <f t="shared" si="35"/>
        <v/>
      </c>
      <c r="R203" t="str">
        <f t="shared" si="36"/>
        <v>Q2</v>
      </c>
      <c r="S203" t="str">
        <f t="shared" si="37"/>
        <v/>
      </c>
      <c r="T203" t="str">
        <f t="shared" si="38"/>
        <v>Q1</v>
      </c>
      <c r="U203" t="str">
        <f t="shared" si="39"/>
        <v/>
      </c>
    </row>
    <row r="204" spans="1:21" x14ac:dyDescent="0.2">
      <c r="A204" t="s">
        <v>260</v>
      </c>
      <c r="B204" s="2">
        <v>0</v>
      </c>
      <c r="C204" s="2">
        <v>0</v>
      </c>
      <c r="D204" s="2">
        <v>0.19047619047618999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t="str">
        <f t="shared" si="30"/>
        <v/>
      </c>
      <c r="M204" t="str">
        <f t="shared" si="31"/>
        <v/>
      </c>
      <c r="N204" t="str">
        <f t="shared" si="32"/>
        <v>Q2</v>
      </c>
      <c r="O204" t="str">
        <f t="shared" si="33"/>
        <v/>
      </c>
      <c r="P204" t="str">
        <f t="shared" si="34"/>
        <v/>
      </c>
      <c r="Q204" t="str">
        <f t="shared" si="35"/>
        <v/>
      </c>
      <c r="R204" t="str">
        <f t="shared" si="36"/>
        <v/>
      </c>
      <c r="S204" t="str">
        <f t="shared" si="37"/>
        <v/>
      </c>
      <c r="T204" t="str">
        <f t="shared" si="38"/>
        <v/>
      </c>
      <c r="U204" t="str">
        <f t="shared" si="39"/>
        <v/>
      </c>
    </row>
    <row r="205" spans="1:21" x14ac:dyDescent="0.2">
      <c r="A205" t="s">
        <v>261</v>
      </c>
      <c r="B205" s="2">
        <v>0</v>
      </c>
      <c r="C205" s="2">
        <v>0</v>
      </c>
      <c r="D205" s="2">
        <v>0</v>
      </c>
      <c r="E205" s="2">
        <v>3.3613445378151197E-2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0.47058823529411697</v>
      </c>
      <c r="L205" t="str">
        <f t="shared" si="30"/>
        <v/>
      </c>
      <c r="M205" t="str">
        <f t="shared" si="31"/>
        <v/>
      </c>
      <c r="N205" t="str">
        <f t="shared" si="32"/>
        <v/>
      </c>
      <c r="O205" t="str">
        <f t="shared" si="33"/>
        <v>Q1</v>
      </c>
      <c r="P205" t="str">
        <f t="shared" si="34"/>
        <v/>
      </c>
      <c r="Q205" t="str">
        <f t="shared" si="35"/>
        <v/>
      </c>
      <c r="R205" t="str">
        <f t="shared" si="36"/>
        <v/>
      </c>
      <c r="S205" t="str">
        <f t="shared" si="37"/>
        <v/>
      </c>
      <c r="T205" t="str">
        <f t="shared" si="38"/>
        <v/>
      </c>
      <c r="U205" t="str">
        <f t="shared" si="39"/>
        <v>Q1</v>
      </c>
    </row>
    <row r="206" spans="1:21" x14ac:dyDescent="0.2">
      <c r="A206" t="s">
        <v>262</v>
      </c>
      <c r="B206" s="2">
        <v>0</v>
      </c>
      <c r="C206" s="2">
        <v>0</v>
      </c>
      <c r="D206" s="2">
        <v>0</v>
      </c>
      <c r="E206" s="2">
        <v>8.4033613445378096E-3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t="str">
        <f t="shared" si="30"/>
        <v/>
      </c>
      <c r="M206" t="str">
        <f t="shared" si="31"/>
        <v/>
      </c>
      <c r="N206" t="str">
        <f t="shared" si="32"/>
        <v/>
      </c>
      <c r="O206" t="str">
        <f t="shared" si="33"/>
        <v>Q3</v>
      </c>
      <c r="P206" t="str">
        <f t="shared" si="34"/>
        <v/>
      </c>
      <c r="Q206" t="str">
        <f t="shared" si="35"/>
        <v/>
      </c>
      <c r="R206" t="str">
        <f t="shared" si="36"/>
        <v/>
      </c>
      <c r="S206" t="str">
        <f t="shared" si="37"/>
        <v/>
      </c>
      <c r="T206" t="str">
        <f t="shared" si="38"/>
        <v/>
      </c>
      <c r="U206" t="str">
        <f t="shared" si="39"/>
        <v/>
      </c>
    </row>
    <row r="207" spans="1:21" x14ac:dyDescent="0.2">
      <c r="A207" t="s">
        <v>263</v>
      </c>
      <c r="B207" s="2">
        <v>0</v>
      </c>
      <c r="C207" s="2">
        <v>0</v>
      </c>
      <c r="D207" s="2">
        <v>0</v>
      </c>
      <c r="E207" s="2">
        <v>1.6806722689075598E-2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t="str">
        <f t="shared" si="30"/>
        <v/>
      </c>
      <c r="M207" t="str">
        <f t="shared" si="31"/>
        <v/>
      </c>
      <c r="N207" t="str">
        <f t="shared" si="32"/>
        <v/>
      </c>
      <c r="O207" t="str">
        <f t="shared" si="33"/>
        <v>Q2</v>
      </c>
      <c r="P207" t="str">
        <f t="shared" si="34"/>
        <v/>
      </c>
      <c r="Q207" t="str">
        <f t="shared" si="35"/>
        <v/>
      </c>
      <c r="R207" t="str">
        <f t="shared" si="36"/>
        <v/>
      </c>
      <c r="S207" t="str">
        <f t="shared" si="37"/>
        <v/>
      </c>
      <c r="T207" t="str">
        <f t="shared" si="38"/>
        <v/>
      </c>
      <c r="U207" t="str">
        <f t="shared" si="39"/>
        <v/>
      </c>
    </row>
    <row r="208" spans="1:21" x14ac:dyDescent="0.2">
      <c r="A208" t="s">
        <v>264</v>
      </c>
      <c r="B208" s="2">
        <v>0</v>
      </c>
      <c r="C208" s="2">
        <v>0</v>
      </c>
      <c r="D208" s="2">
        <v>0</v>
      </c>
      <c r="E208" s="2">
        <v>4.2016806722688996E-3</v>
      </c>
      <c r="F208" s="2">
        <v>0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t="str">
        <f t="shared" si="30"/>
        <v/>
      </c>
      <c r="M208" t="str">
        <f t="shared" si="31"/>
        <v/>
      </c>
      <c r="N208" t="str">
        <f t="shared" si="32"/>
        <v/>
      </c>
      <c r="O208" t="str">
        <f t="shared" si="33"/>
        <v>Q4</v>
      </c>
      <c r="P208" t="str">
        <f t="shared" si="34"/>
        <v/>
      </c>
      <c r="Q208" t="str">
        <f t="shared" si="35"/>
        <v>Q1</v>
      </c>
      <c r="R208" t="str">
        <f t="shared" si="36"/>
        <v/>
      </c>
      <c r="S208" t="str">
        <f t="shared" si="37"/>
        <v/>
      </c>
      <c r="T208" t="str">
        <f t="shared" si="38"/>
        <v/>
      </c>
      <c r="U208" t="str">
        <f t="shared" si="39"/>
        <v/>
      </c>
    </row>
    <row r="209" spans="1:21" x14ac:dyDescent="0.2">
      <c r="A209" t="s">
        <v>265</v>
      </c>
      <c r="B209" s="2">
        <v>0</v>
      </c>
      <c r="C209" s="2">
        <v>0</v>
      </c>
      <c r="D209" s="2">
        <v>0</v>
      </c>
      <c r="E209" s="2">
        <v>0.105042016806722</v>
      </c>
      <c r="F209" s="2">
        <v>0.269230769230769</v>
      </c>
      <c r="G209" s="2">
        <v>0</v>
      </c>
      <c r="H209" s="2">
        <v>0</v>
      </c>
      <c r="I209" s="2">
        <v>0</v>
      </c>
      <c r="J209" s="2">
        <v>0.209302325581395</v>
      </c>
      <c r="K209" s="2">
        <v>0</v>
      </c>
      <c r="L209" t="str">
        <f t="shared" si="30"/>
        <v/>
      </c>
      <c r="M209" t="str">
        <f t="shared" si="31"/>
        <v/>
      </c>
      <c r="N209" t="str">
        <f t="shared" si="32"/>
        <v/>
      </c>
      <c r="O209" t="str">
        <f t="shared" si="33"/>
        <v>Q1</v>
      </c>
      <c r="P209" t="str">
        <f t="shared" si="34"/>
        <v>Q1</v>
      </c>
      <c r="Q209" t="str">
        <f t="shared" si="35"/>
        <v/>
      </c>
      <c r="R209" t="str">
        <f t="shared" si="36"/>
        <v/>
      </c>
      <c r="S209" t="str">
        <f t="shared" si="37"/>
        <v/>
      </c>
      <c r="T209" t="str">
        <f t="shared" si="38"/>
        <v>Q1</v>
      </c>
      <c r="U209" t="str">
        <f t="shared" si="39"/>
        <v/>
      </c>
    </row>
    <row r="210" spans="1:21" x14ac:dyDescent="0.2">
      <c r="A210" t="s">
        <v>266</v>
      </c>
      <c r="B210" s="2">
        <v>0</v>
      </c>
      <c r="C210" s="2">
        <v>0</v>
      </c>
      <c r="D210" s="2">
        <v>0</v>
      </c>
      <c r="E210" s="2">
        <v>1.6806722689075598E-2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t="str">
        <f t="shared" si="30"/>
        <v/>
      </c>
      <c r="M210" t="str">
        <f t="shared" si="31"/>
        <v/>
      </c>
      <c r="N210" t="str">
        <f t="shared" si="32"/>
        <v/>
      </c>
      <c r="O210" t="str">
        <f t="shared" si="33"/>
        <v>Q2</v>
      </c>
      <c r="P210" t="str">
        <f t="shared" si="34"/>
        <v/>
      </c>
      <c r="Q210" t="str">
        <f t="shared" si="35"/>
        <v/>
      </c>
      <c r="R210" t="str">
        <f t="shared" si="36"/>
        <v/>
      </c>
      <c r="S210" t="str">
        <f t="shared" si="37"/>
        <v/>
      </c>
      <c r="T210" t="str">
        <f t="shared" si="38"/>
        <v/>
      </c>
      <c r="U210" t="str">
        <f t="shared" si="39"/>
        <v/>
      </c>
    </row>
    <row r="211" spans="1:21" x14ac:dyDescent="0.2">
      <c r="A211" t="s">
        <v>267</v>
      </c>
      <c r="B211" s="2">
        <v>0</v>
      </c>
      <c r="C211" s="2">
        <v>0</v>
      </c>
      <c r="D211" s="2">
        <v>0</v>
      </c>
      <c r="E211" s="2">
        <v>8.4033613445378096E-3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t="str">
        <f t="shared" si="30"/>
        <v/>
      </c>
      <c r="M211" t="str">
        <f t="shared" si="31"/>
        <v/>
      </c>
      <c r="N211" t="str">
        <f t="shared" si="32"/>
        <v/>
      </c>
      <c r="O211" t="str">
        <f t="shared" si="33"/>
        <v>Q3</v>
      </c>
      <c r="P211" t="str">
        <f t="shared" si="34"/>
        <v/>
      </c>
      <c r="Q211" t="str">
        <f t="shared" si="35"/>
        <v/>
      </c>
      <c r="R211" t="str">
        <f t="shared" si="36"/>
        <v/>
      </c>
      <c r="S211" t="str">
        <f t="shared" si="37"/>
        <v/>
      </c>
      <c r="T211" t="str">
        <f t="shared" si="38"/>
        <v/>
      </c>
      <c r="U211" t="str">
        <f t="shared" si="39"/>
        <v/>
      </c>
    </row>
    <row r="212" spans="1:21" x14ac:dyDescent="0.2">
      <c r="A212" t="s">
        <v>268</v>
      </c>
      <c r="B212" s="2">
        <v>0</v>
      </c>
      <c r="C212" s="2">
        <v>0</v>
      </c>
      <c r="D212" s="2">
        <v>0</v>
      </c>
      <c r="E212" s="2">
        <v>3.3613445378151197E-2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t="str">
        <f t="shared" si="30"/>
        <v/>
      </c>
      <c r="M212" t="str">
        <f t="shared" si="31"/>
        <v/>
      </c>
      <c r="N212" t="str">
        <f t="shared" si="32"/>
        <v/>
      </c>
      <c r="O212" t="str">
        <f t="shared" si="33"/>
        <v>Q1</v>
      </c>
      <c r="P212" t="str">
        <f t="shared" si="34"/>
        <v/>
      </c>
      <c r="Q212" t="str">
        <f t="shared" si="35"/>
        <v/>
      </c>
      <c r="R212" t="str">
        <f t="shared" si="36"/>
        <v/>
      </c>
      <c r="S212" t="str">
        <f t="shared" si="37"/>
        <v/>
      </c>
      <c r="T212" t="str">
        <f t="shared" si="38"/>
        <v/>
      </c>
      <c r="U212" t="str">
        <f t="shared" si="39"/>
        <v/>
      </c>
    </row>
    <row r="213" spans="1:21" x14ac:dyDescent="0.2">
      <c r="A213" t="s">
        <v>269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0.23529411764705799</v>
      </c>
      <c r="L213" t="str">
        <f t="shared" si="30"/>
        <v/>
      </c>
      <c r="M213" t="str">
        <f t="shared" si="31"/>
        <v/>
      </c>
      <c r="N213" t="str">
        <f t="shared" si="32"/>
        <v/>
      </c>
      <c r="O213" t="str">
        <f t="shared" si="33"/>
        <v/>
      </c>
      <c r="P213" t="str">
        <f t="shared" si="34"/>
        <v/>
      </c>
      <c r="Q213" t="str">
        <f t="shared" si="35"/>
        <v/>
      </c>
      <c r="R213" t="str">
        <f t="shared" si="36"/>
        <v/>
      </c>
      <c r="S213" t="str">
        <f t="shared" si="37"/>
        <v/>
      </c>
      <c r="T213" t="str">
        <f t="shared" si="38"/>
        <v/>
      </c>
      <c r="U213" t="str">
        <f t="shared" si="39"/>
        <v>Q2</v>
      </c>
    </row>
    <row r="214" spans="1:21" x14ac:dyDescent="0.2">
      <c r="A214" t="s">
        <v>270</v>
      </c>
      <c r="B214" s="2">
        <v>0</v>
      </c>
      <c r="C214" s="2">
        <v>0</v>
      </c>
      <c r="D214" s="2">
        <v>0</v>
      </c>
      <c r="E214" s="2">
        <v>4.2016806722689003E-2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t="str">
        <f t="shared" si="30"/>
        <v/>
      </c>
      <c r="M214" t="str">
        <f t="shared" si="31"/>
        <v/>
      </c>
      <c r="N214" t="str">
        <f t="shared" si="32"/>
        <v/>
      </c>
      <c r="O214" t="str">
        <f t="shared" si="33"/>
        <v>Q1</v>
      </c>
      <c r="P214" t="str">
        <f t="shared" si="34"/>
        <v/>
      </c>
      <c r="Q214" t="str">
        <f t="shared" si="35"/>
        <v/>
      </c>
      <c r="R214" t="str">
        <f t="shared" si="36"/>
        <v/>
      </c>
      <c r="S214" t="str">
        <f t="shared" si="37"/>
        <v/>
      </c>
      <c r="T214" t="str">
        <f t="shared" si="38"/>
        <v/>
      </c>
      <c r="U214" t="str">
        <f t="shared" si="39"/>
        <v/>
      </c>
    </row>
    <row r="215" spans="1:21" x14ac:dyDescent="0.2">
      <c r="A215" t="s">
        <v>271</v>
      </c>
      <c r="B215" s="2">
        <v>0</v>
      </c>
      <c r="C215" s="2">
        <v>0</v>
      </c>
      <c r="D215" s="2">
        <v>0</v>
      </c>
      <c r="E215" s="2">
        <v>7.5630252100840303E-2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t="str">
        <f t="shared" si="30"/>
        <v/>
      </c>
      <c r="M215" t="str">
        <f t="shared" si="31"/>
        <v/>
      </c>
      <c r="N215" t="str">
        <f t="shared" si="32"/>
        <v/>
      </c>
      <c r="O215" t="str">
        <f t="shared" si="33"/>
        <v>Q1</v>
      </c>
      <c r="P215" t="str">
        <f t="shared" si="34"/>
        <v/>
      </c>
      <c r="Q215" t="str">
        <f t="shared" si="35"/>
        <v/>
      </c>
      <c r="R215" t="str">
        <f t="shared" si="36"/>
        <v/>
      </c>
      <c r="S215" t="str">
        <f t="shared" si="37"/>
        <v/>
      </c>
      <c r="T215" t="str">
        <f t="shared" si="38"/>
        <v/>
      </c>
      <c r="U215" t="str">
        <f t="shared" si="39"/>
        <v/>
      </c>
    </row>
    <row r="216" spans="1:21" x14ac:dyDescent="0.2">
      <c r="A216" t="s">
        <v>272</v>
      </c>
      <c r="B216" s="2">
        <v>0</v>
      </c>
      <c r="C216" s="2">
        <v>0</v>
      </c>
      <c r="D216" s="2">
        <v>0</v>
      </c>
      <c r="E216" s="2">
        <v>8.4033613445378096E-3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t="str">
        <f t="shared" si="30"/>
        <v/>
      </c>
      <c r="M216" t="str">
        <f t="shared" si="31"/>
        <v/>
      </c>
      <c r="N216" t="str">
        <f t="shared" si="32"/>
        <v/>
      </c>
      <c r="O216" t="str">
        <f t="shared" si="33"/>
        <v>Q3</v>
      </c>
      <c r="P216" t="str">
        <f t="shared" si="34"/>
        <v/>
      </c>
      <c r="Q216" t="str">
        <f t="shared" si="35"/>
        <v/>
      </c>
      <c r="R216" t="str">
        <f t="shared" si="36"/>
        <v/>
      </c>
      <c r="S216" t="str">
        <f t="shared" si="37"/>
        <v/>
      </c>
      <c r="T216" t="str">
        <f t="shared" si="38"/>
        <v/>
      </c>
      <c r="U216" t="str">
        <f t="shared" si="39"/>
        <v/>
      </c>
    </row>
    <row r="217" spans="1:21" x14ac:dyDescent="0.2">
      <c r="A217" t="s">
        <v>273</v>
      </c>
      <c r="B217" s="2">
        <v>0</v>
      </c>
      <c r="C217" s="2">
        <v>0</v>
      </c>
      <c r="D217" s="2">
        <v>0</v>
      </c>
      <c r="E217" s="2">
        <v>8.4033613445378096E-3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t="str">
        <f t="shared" si="30"/>
        <v/>
      </c>
      <c r="M217" t="str">
        <f t="shared" si="31"/>
        <v/>
      </c>
      <c r="N217" t="str">
        <f t="shared" si="32"/>
        <v/>
      </c>
      <c r="O217" t="str">
        <f t="shared" si="33"/>
        <v>Q3</v>
      </c>
      <c r="P217" t="str">
        <f t="shared" si="34"/>
        <v/>
      </c>
      <c r="Q217" t="str">
        <f t="shared" si="35"/>
        <v/>
      </c>
      <c r="R217" t="str">
        <f t="shared" si="36"/>
        <v/>
      </c>
      <c r="S217" t="str">
        <f t="shared" si="37"/>
        <v/>
      </c>
      <c r="T217" t="str">
        <f t="shared" si="38"/>
        <v/>
      </c>
      <c r="U217" t="str">
        <f t="shared" si="39"/>
        <v/>
      </c>
    </row>
    <row r="218" spans="1:21" x14ac:dyDescent="0.2">
      <c r="A218" t="s">
        <v>274</v>
      </c>
      <c r="B218" s="2">
        <v>0</v>
      </c>
      <c r="C218" s="2">
        <v>0</v>
      </c>
      <c r="D218" s="2">
        <v>0</v>
      </c>
      <c r="E218" s="2">
        <v>8.4033613445378096E-3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5.8823529411764698E-2</v>
      </c>
      <c r="L218" t="str">
        <f t="shared" si="30"/>
        <v/>
      </c>
      <c r="M218" t="str">
        <f t="shared" si="31"/>
        <v/>
      </c>
      <c r="N218" t="str">
        <f t="shared" si="32"/>
        <v/>
      </c>
      <c r="O218" t="str">
        <f t="shared" si="33"/>
        <v>Q3</v>
      </c>
      <c r="P218" t="str">
        <f t="shared" si="34"/>
        <v/>
      </c>
      <c r="Q218" t="str">
        <f t="shared" si="35"/>
        <v/>
      </c>
      <c r="R218" t="str">
        <f t="shared" si="36"/>
        <v/>
      </c>
      <c r="S218" t="str">
        <f t="shared" si="37"/>
        <v/>
      </c>
      <c r="T218" t="str">
        <f t="shared" si="38"/>
        <v/>
      </c>
      <c r="U218" t="str">
        <f t="shared" si="39"/>
        <v>Q4</v>
      </c>
    </row>
    <row r="219" spans="1:21" x14ac:dyDescent="0.2">
      <c r="A219" t="s">
        <v>275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6.9767441860465101E-2</v>
      </c>
      <c r="K219" s="2">
        <v>0</v>
      </c>
      <c r="L219" t="str">
        <f t="shared" si="30"/>
        <v/>
      </c>
      <c r="M219" t="str">
        <f t="shared" si="31"/>
        <v/>
      </c>
      <c r="N219" t="str">
        <f t="shared" si="32"/>
        <v/>
      </c>
      <c r="O219" t="str">
        <f t="shared" si="33"/>
        <v/>
      </c>
      <c r="P219" t="str">
        <f t="shared" si="34"/>
        <v/>
      </c>
      <c r="Q219" t="str">
        <f t="shared" si="35"/>
        <v/>
      </c>
      <c r="R219" t="str">
        <f t="shared" si="36"/>
        <v/>
      </c>
      <c r="S219" t="str">
        <f t="shared" si="37"/>
        <v/>
      </c>
      <c r="T219" t="str">
        <f t="shared" si="38"/>
        <v>Q2</v>
      </c>
      <c r="U219" t="str">
        <f t="shared" si="39"/>
        <v/>
      </c>
    </row>
    <row r="220" spans="1:21" x14ac:dyDescent="0.2">
      <c r="A220" t="s">
        <v>276</v>
      </c>
      <c r="B220" s="2">
        <v>0</v>
      </c>
      <c r="C220" s="2">
        <v>0</v>
      </c>
      <c r="D220" s="2">
        <v>0</v>
      </c>
      <c r="E220" s="2">
        <v>4.2016806722688996E-3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t="str">
        <f t="shared" si="30"/>
        <v/>
      </c>
      <c r="M220" t="str">
        <f t="shared" si="31"/>
        <v/>
      </c>
      <c r="N220" t="str">
        <f t="shared" si="32"/>
        <v/>
      </c>
      <c r="O220" t="str">
        <f t="shared" si="33"/>
        <v>Q4</v>
      </c>
      <c r="P220" t="str">
        <f t="shared" si="34"/>
        <v/>
      </c>
      <c r="Q220" t="str">
        <f t="shared" si="35"/>
        <v/>
      </c>
      <c r="R220" t="str">
        <f t="shared" si="36"/>
        <v/>
      </c>
      <c r="S220" t="str">
        <f t="shared" si="37"/>
        <v/>
      </c>
      <c r="T220" t="str">
        <f t="shared" si="38"/>
        <v/>
      </c>
      <c r="U220" t="str">
        <f t="shared" si="39"/>
        <v/>
      </c>
    </row>
    <row r="221" spans="1:21" x14ac:dyDescent="0.2">
      <c r="A221" t="s">
        <v>277</v>
      </c>
      <c r="B221" s="2">
        <v>0</v>
      </c>
      <c r="C221" s="2">
        <v>0</v>
      </c>
      <c r="D221" s="2">
        <v>0</v>
      </c>
      <c r="E221" s="2">
        <v>4.2016806722688996E-3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t="str">
        <f t="shared" si="30"/>
        <v/>
      </c>
      <c r="M221" t="str">
        <f t="shared" si="31"/>
        <v/>
      </c>
      <c r="N221" t="str">
        <f t="shared" si="32"/>
        <v/>
      </c>
      <c r="O221" t="str">
        <f t="shared" si="33"/>
        <v>Q4</v>
      </c>
      <c r="P221" t="str">
        <f t="shared" si="34"/>
        <v/>
      </c>
      <c r="Q221" t="str">
        <f t="shared" si="35"/>
        <v/>
      </c>
      <c r="R221" t="str">
        <f t="shared" si="36"/>
        <v/>
      </c>
      <c r="S221" t="str">
        <f t="shared" si="37"/>
        <v/>
      </c>
      <c r="T221" t="str">
        <f t="shared" si="38"/>
        <v/>
      </c>
      <c r="U221" t="str">
        <f t="shared" si="39"/>
        <v/>
      </c>
    </row>
    <row r="222" spans="1:21" x14ac:dyDescent="0.2">
      <c r="A222" t="s">
        <v>278</v>
      </c>
      <c r="B222" s="2">
        <v>0</v>
      </c>
      <c r="C222" s="2">
        <v>0</v>
      </c>
      <c r="D222" s="2">
        <v>0</v>
      </c>
      <c r="E222" s="2">
        <v>4.2016806722688996E-3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t="str">
        <f t="shared" si="30"/>
        <v/>
      </c>
      <c r="M222" t="str">
        <f t="shared" si="31"/>
        <v/>
      </c>
      <c r="N222" t="str">
        <f t="shared" si="32"/>
        <v/>
      </c>
      <c r="O222" t="str">
        <f t="shared" si="33"/>
        <v>Q4</v>
      </c>
      <c r="P222" t="str">
        <f t="shared" si="34"/>
        <v/>
      </c>
      <c r="Q222" t="str">
        <f t="shared" si="35"/>
        <v/>
      </c>
      <c r="R222" t="str">
        <f t="shared" si="36"/>
        <v/>
      </c>
      <c r="S222" t="str">
        <f t="shared" si="37"/>
        <v/>
      </c>
      <c r="T222" t="str">
        <f t="shared" si="38"/>
        <v/>
      </c>
      <c r="U222" t="str">
        <f t="shared" si="39"/>
        <v/>
      </c>
    </row>
    <row r="223" spans="1:21" x14ac:dyDescent="0.2">
      <c r="A223" t="s">
        <v>279</v>
      </c>
      <c r="B223" s="2">
        <v>0</v>
      </c>
      <c r="C223" s="2">
        <v>0</v>
      </c>
      <c r="D223" s="2">
        <v>0</v>
      </c>
      <c r="E223" s="2">
        <v>1.26050420168067E-2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t="str">
        <f t="shared" si="30"/>
        <v/>
      </c>
      <c r="M223" t="str">
        <f t="shared" si="31"/>
        <v/>
      </c>
      <c r="N223" t="str">
        <f t="shared" si="32"/>
        <v/>
      </c>
      <c r="O223" t="str">
        <f t="shared" si="33"/>
        <v>Q2</v>
      </c>
      <c r="P223" t="str">
        <f t="shared" si="34"/>
        <v/>
      </c>
      <c r="Q223" t="str">
        <f t="shared" si="35"/>
        <v/>
      </c>
      <c r="R223" t="str">
        <f t="shared" si="36"/>
        <v/>
      </c>
      <c r="S223" t="str">
        <f t="shared" si="37"/>
        <v/>
      </c>
      <c r="T223" t="str">
        <f t="shared" si="38"/>
        <v/>
      </c>
      <c r="U223" t="str">
        <f t="shared" si="39"/>
        <v/>
      </c>
    </row>
    <row r="224" spans="1:21" x14ac:dyDescent="0.2">
      <c r="A224" t="s">
        <v>280</v>
      </c>
      <c r="B224" s="2">
        <v>0</v>
      </c>
      <c r="C224" s="2">
        <v>0</v>
      </c>
      <c r="D224" s="2">
        <v>0</v>
      </c>
      <c r="E224" s="2">
        <v>4.2016806722688996E-3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t="str">
        <f t="shared" si="30"/>
        <v/>
      </c>
      <c r="M224" t="str">
        <f t="shared" si="31"/>
        <v/>
      </c>
      <c r="N224" t="str">
        <f t="shared" si="32"/>
        <v/>
      </c>
      <c r="O224" t="str">
        <f t="shared" si="33"/>
        <v>Q4</v>
      </c>
      <c r="P224" t="str">
        <f t="shared" si="34"/>
        <v/>
      </c>
      <c r="Q224" t="str">
        <f t="shared" si="35"/>
        <v/>
      </c>
      <c r="R224" t="str">
        <f t="shared" si="36"/>
        <v/>
      </c>
      <c r="S224" t="str">
        <f t="shared" si="37"/>
        <v/>
      </c>
      <c r="T224" t="str">
        <f t="shared" si="38"/>
        <v/>
      </c>
      <c r="U224" t="str">
        <f t="shared" si="39"/>
        <v/>
      </c>
    </row>
    <row r="225" spans="1:21" x14ac:dyDescent="0.2">
      <c r="A225" t="s">
        <v>281</v>
      </c>
      <c r="B225" s="2">
        <v>0</v>
      </c>
      <c r="C225" s="2">
        <v>0</v>
      </c>
      <c r="D225" s="2">
        <v>0</v>
      </c>
      <c r="E225" s="2">
        <v>8.4033613445378096E-3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t="str">
        <f t="shared" si="30"/>
        <v/>
      </c>
      <c r="M225" t="str">
        <f t="shared" si="31"/>
        <v/>
      </c>
      <c r="N225" t="str">
        <f t="shared" si="32"/>
        <v/>
      </c>
      <c r="O225" t="str">
        <f t="shared" si="33"/>
        <v>Q3</v>
      </c>
      <c r="P225" t="str">
        <f t="shared" si="34"/>
        <v/>
      </c>
      <c r="Q225" t="str">
        <f t="shared" si="35"/>
        <v/>
      </c>
      <c r="R225" t="str">
        <f t="shared" si="36"/>
        <v/>
      </c>
      <c r="S225" t="str">
        <f t="shared" si="37"/>
        <v/>
      </c>
      <c r="T225" t="str">
        <f t="shared" si="38"/>
        <v/>
      </c>
      <c r="U225" t="str">
        <f t="shared" si="39"/>
        <v/>
      </c>
    </row>
    <row r="226" spans="1:21" x14ac:dyDescent="0.2">
      <c r="A226" t="s">
        <v>282</v>
      </c>
      <c r="B226" s="2">
        <v>0</v>
      </c>
      <c r="C226" s="2">
        <v>0</v>
      </c>
      <c r="D226" s="2">
        <v>0</v>
      </c>
      <c r="E226" s="2">
        <v>8.4033613445378096E-3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t="str">
        <f t="shared" si="30"/>
        <v/>
      </c>
      <c r="M226" t="str">
        <f t="shared" si="31"/>
        <v/>
      </c>
      <c r="N226" t="str">
        <f t="shared" si="32"/>
        <v/>
      </c>
      <c r="O226" t="str">
        <f t="shared" si="33"/>
        <v>Q3</v>
      </c>
      <c r="P226" t="str">
        <f t="shared" si="34"/>
        <v/>
      </c>
      <c r="Q226" t="str">
        <f t="shared" si="35"/>
        <v/>
      </c>
      <c r="R226" t="str">
        <f t="shared" si="36"/>
        <v/>
      </c>
      <c r="S226" t="str">
        <f t="shared" si="37"/>
        <v/>
      </c>
      <c r="T226" t="str">
        <f t="shared" si="38"/>
        <v/>
      </c>
      <c r="U226" t="str">
        <f t="shared" si="39"/>
        <v/>
      </c>
    </row>
    <row r="227" spans="1:21" x14ac:dyDescent="0.2">
      <c r="A227" t="s">
        <v>283</v>
      </c>
      <c r="B227" s="2">
        <v>0</v>
      </c>
      <c r="C227" s="2">
        <v>0</v>
      </c>
      <c r="D227" s="2">
        <v>0</v>
      </c>
      <c r="E227" s="2">
        <v>8.4033613445378096E-3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t="str">
        <f t="shared" si="30"/>
        <v/>
      </c>
      <c r="M227" t="str">
        <f t="shared" si="31"/>
        <v/>
      </c>
      <c r="N227" t="str">
        <f t="shared" si="32"/>
        <v/>
      </c>
      <c r="O227" t="str">
        <f t="shared" si="33"/>
        <v>Q3</v>
      </c>
      <c r="P227" t="str">
        <f t="shared" si="34"/>
        <v/>
      </c>
      <c r="Q227" t="str">
        <f t="shared" si="35"/>
        <v/>
      </c>
      <c r="R227" t="str">
        <f t="shared" si="36"/>
        <v/>
      </c>
      <c r="S227" t="str">
        <f t="shared" si="37"/>
        <v/>
      </c>
      <c r="T227" t="str">
        <f t="shared" si="38"/>
        <v/>
      </c>
      <c r="U227" t="str">
        <f t="shared" si="39"/>
        <v/>
      </c>
    </row>
    <row r="228" spans="1:21" x14ac:dyDescent="0.2">
      <c r="A228" t="s">
        <v>284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0.11111111111111099</v>
      </c>
      <c r="I228" s="2">
        <v>0</v>
      </c>
      <c r="J228" s="2">
        <v>0</v>
      </c>
      <c r="K228" s="2">
        <v>0</v>
      </c>
      <c r="L228" t="str">
        <f t="shared" si="30"/>
        <v/>
      </c>
      <c r="M228" t="str">
        <f t="shared" si="31"/>
        <v/>
      </c>
      <c r="N228" t="str">
        <f t="shared" si="32"/>
        <v/>
      </c>
      <c r="O228" t="str">
        <f t="shared" si="33"/>
        <v/>
      </c>
      <c r="P228" t="str">
        <f t="shared" si="34"/>
        <v/>
      </c>
      <c r="Q228" t="str">
        <f t="shared" si="35"/>
        <v/>
      </c>
      <c r="R228" t="str">
        <f t="shared" si="36"/>
        <v>Q4</v>
      </c>
      <c r="S228" t="str">
        <f t="shared" si="37"/>
        <v/>
      </c>
      <c r="T228" t="str">
        <f t="shared" si="38"/>
        <v/>
      </c>
      <c r="U228" t="str">
        <f t="shared" si="39"/>
        <v/>
      </c>
    </row>
    <row r="229" spans="1:21" x14ac:dyDescent="0.2">
      <c r="A229" s="8" t="s">
        <v>285</v>
      </c>
      <c r="B229" s="2">
        <v>0</v>
      </c>
      <c r="C229" s="2">
        <v>0</v>
      </c>
      <c r="D229" s="2">
        <v>0</v>
      </c>
      <c r="E229" s="2">
        <v>1.6806722689075598E-2</v>
      </c>
      <c r="F229" s="2">
        <v>0</v>
      </c>
      <c r="G229" s="2">
        <v>0</v>
      </c>
      <c r="H229" s="2">
        <v>0</v>
      </c>
      <c r="I229" s="2">
        <v>0</v>
      </c>
      <c r="J229" s="2">
        <v>4.6511627906976702E-2</v>
      </c>
      <c r="K229" s="2">
        <v>0</v>
      </c>
      <c r="L229" t="str">
        <f t="shared" si="30"/>
        <v/>
      </c>
      <c r="M229" t="str">
        <f t="shared" si="31"/>
        <v/>
      </c>
      <c r="N229" t="str">
        <f t="shared" si="32"/>
        <v/>
      </c>
      <c r="O229" t="str">
        <f t="shared" si="33"/>
        <v>Q2</v>
      </c>
      <c r="P229" t="str">
        <f t="shared" si="34"/>
        <v/>
      </c>
      <c r="Q229" t="str">
        <f t="shared" si="35"/>
        <v/>
      </c>
      <c r="R229" t="str">
        <f t="shared" si="36"/>
        <v/>
      </c>
      <c r="S229" t="str">
        <f t="shared" si="37"/>
        <v/>
      </c>
      <c r="T229" t="str">
        <f t="shared" si="38"/>
        <v>Q3</v>
      </c>
      <c r="U229" t="str">
        <f t="shared" si="39"/>
        <v/>
      </c>
    </row>
    <row r="230" spans="1:21" x14ac:dyDescent="0.2">
      <c r="A230" s="8" t="s">
        <v>286</v>
      </c>
      <c r="B230" s="2">
        <v>0</v>
      </c>
      <c r="C230" s="2">
        <v>0</v>
      </c>
      <c r="D230" s="2">
        <v>0</v>
      </c>
      <c r="E230" s="2">
        <v>3.3613445378151197E-2</v>
      </c>
      <c r="F230" s="2">
        <v>7.69230769230769E-2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t="str">
        <f t="shared" si="30"/>
        <v/>
      </c>
      <c r="M230" t="str">
        <f t="shared" si="31"/>
        <v/>
      </c>
      <c r="N230" t="str">
        <f t="shared" si="32"/>
        <v/>
      </c>
      <c r="O230" t="str">
        <f t="shared" si="33"/>
        <v>Q1</v>
      </c>
      <c r="P230" t="str">
        <f t="shared" si="34"/>
        <v>Q2</v>
      </c>
      <c r="Q230" t="str">
        <f t="shared" si="35"/>
        <v/>
      </c>
      <c r="R230" t="str">
        <f t="shared" si="36"/>
        <v/>
      </c>
      <c r="S230" t="str">
        <f t="shared" si="37"/>
        <v/>
      </c>
      <c r="T230" t="str">
        <f t="shared" si="38"/>
        <v/>
      </c>
      <c r="U230" t="str">
        <f t="shared" si="39"/>
        <v/>
      </c>
    </row>
    <row r="231" spans="1:21" x14ac:dyDescent="0.2">
      <c r="A231" t="s">
        <v>287</v>
      </c>
      <c r="B231" s="2">
        <v>0</v>
      </c>
      <c r="C231" s="2">
        <v>0</v>
      </c>
      <c r="D231" s="2">
        <v>0</v>
      </c>
      <c r="E231" s="2">
        <v>4.2016806722688996E-3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t="str">
        <f t="shared" si="30"/>
        <v/>
      </c>
      <c r="M231" t="str">
        <f t="shared" si="31"/>
        <v/>
      </c>
      <c r="N231" t="str">
        <f t="shared" si="32"/>
        <v/>
      </c>
      <c r="O231" t="str">
        <f t="shared" si="33"/>
        <v>Q4</v>
      </c>
      <c r="P231" t="str">
        <f t="shared" si="34"/>
        <v/>
      </c>
      <c r="Q231" t="str">
        <f t="shared" si="35"/>
        <v/>
      </c>
      <c r="R231" t="str">
        <f t="shared" si="36"/>
        <v/>
      </c>
      <c r="S231" t="str">
        <f t="shared" si="37"/>
        <v/>
      </c>
      <c r="T231" t="str">
        <f t="shared" si="38"/>
        <v/>
      </c>
      <c r="U231" t="str">
        <f t="shared" si="39"/>
        <v/>
      </c>
    </row>
    <row r="232" spans="1:21" x14ac:dyDescent="0.2">
      <c r="A232" t="s">
        <v>288</v>
      </c>
      <c r="B232" s="2">
        <v>0</v>
      </c>
      <c r="C232" s="2">
        <v>0</v>
      </c>
      <c r="D232" s="2">
        <v>0</v>
      </c>
      <c r="E232" s="2">
        <v>4.2016806722688996E-3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t="str">
        <f t="shared" si="30"/>
        <v/>
      </c>
      <c r="M232" t="str">
        <f t="shared" si="31"/>
        <v/>
      </c>
      <c r="N232" t="str">
        <f t="shared" si="32"/>
        <v/>
      </c>
      <c r="O232" t="str">
        <f t="shared" si="33"/>
        <v>Q4</v>
      </c>
      <c r="P232" t="str">
        <f t="shared" si="34"/>
        <v/>
      </c>
      <c r="Q232" t="str">
        <f t="shared" si="35"/>
        <v/>
      </c>
      <c r="R232" t="str">
        <f t="shared" si="36"/>
        <v/>
      </c>
      <c r="S232" t="str">
        <f t="shared" si="37"/>
        <v/>
      </c>
      <c r="T232" t="str">
        <f t="shared" si="38"/>
        <v/>
      </c>
      <c r="U232" t="str">
        <f t="shared" si="39"/>
        <v/>
      </c>
    </row>
    <row r="233" spans="1:21" x14ac:dyDescent="0.2">
      <c r="A233" t="s">
        <v>289</v>
      </c>
      <c r="B233" s="2">
        <v>0</v>
      </c>
      <c r="C233" s="2">
        <v>0</v>
      </c>
      <c r="D233" s="2">
        <v>0</v>
      </c>
      <c r="E233" s="2">
        <v>0</v>
      </c>
      <c r="F233" s="2">
        <v>3.8461538461538401E-2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t="str">
        <f t="shared" si="30"/>
        <v/>
      </c>
      <c r="M233" t="str">
        <f t="shared" si="31"/>
        <v/>
      </c>
      <c r="N233" t="str">
        <f t="shared" si="32"/>
        <v/>
      </c>
      <c r="O233" t="str">
        <f t="shared" si="33"/>
        <v/>
      </c>
      <c r="P233" t="str">
        <f t="shared" si="34"/>
        <v>Q4</v>
      </c>
      <c r="Q233" t="str">
        <f t="shared" si="35"/>
        <v/>
      </c>
      <c r="R233" t="str">
        <f t="shared" si="36"/>
        <v/>
      </c>
      <c r="S233" t="str">
        <f t="shared" si="37"/>
        <v/>
      </c>
      <c r="T233" t="str">
        <f t="shared" si="38"/>
        <v/>
      </c>
      <c r="U233" t="str">
        <f t="shared" si="39"/>
        <v/>
      </c>
    </row>
    <row r="234" spans="1:21" x14ac:dyDescent="0.2">
      <c r="A234" t="s">
        <v>290</v>
      </c>
      <c r="B234" s="2">
        <v>0</v>
      </c>
      <c r="C234" s="2">
        <v>0</v>
      </c>
      <c r="D234" s="2">
        <v>0</v>
      </c>
      <c r="E234" s="2">
        <v>4.2016806722688996E-3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t="str">
        <f t="shared" si="30"/>
        <v/>
      </c>
      <c r="M234" t="str">
        <f t="shared" si="31"/>
        <v/>
      </c>
      <c r="N234" t="str">
        <f t="shared" si="32"/>
        <v/>
      </c>
      <c r="O234" t="str">
        <f t="shared" si="33"/>
        <v>Q4</v>
      </c>
      <c r="P234" t="str">
        <f t="shared" si="34"/>
        <v/>
      </c>
      <c r="Q234" t="str">
        <f t="shared" si="35"/>
        <v/>
      </c>
      <c r="R234" t="str">
        <f t="shared" si="36"/>
        <v/>
      </c>
      <c r="S234" t="str">
        <f t="shared" si="37"/>
        <v/>
      </c>
      <c r="T234" t="str">
        <f t="shared" si="38"/>
        <v/>
      </c>
      <c r="U234" t="str">
        <f t="shared" si="39"/>
        <v/>
      </c>
    </row>
    <row r="235" spans="1:21" x14ac:dyDescent="0.2">
      <c r="A235" t="s">
        <v>291</v>
      </c>
      <c r="B235" s="2">
        <v>0</v>
      </c>
      <c r="C235" s="2">
        <v>0</v>
      </c>
      <c r="D235" s="2">
        <v>0</v>
      </c>
      <c r="E235" s="2">
        <v>1.6806722689075598E-2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t="str">
        <f t="shared" si="30"/>
        <v/>
      </c>
      <c r="M235" t="str">
        <f t="shared" si="31"/>
        <v/>
      </c>
      <c r="N235" t="str">
        <f t="shared" si="32"/>
        <v/>
      </c>
      <c r="O235" t="str">
        <f t="shared" si="33"/>
        <v>Q2</v>
      </c>
      <c r="P235" t="str">
        <f t="shared" si="34"/>
        <v/>
      </c>
      <c r="Q235" t="str">
        <f t="shared" si="35"/>
        <v/>
      </c>
      <c r="R235" t="str">
        <f t="shared" si="36"/>
        <v/>
      </c>
      <c r="S235" t="str">
        <f t="shared" si="37"/>
        <v/>
      </c>
      <c r="T235" t="str">
        <f t="shared" si="38"/>
        <v/>
      </c>
      <c r="U235" t="str">
        <f t="shared" si="39"/>
        <v/>
      </c>
    </row>
    <row r="236" spans="1:21" x14ac:dyDescent="0.2">
      <c r="A236" s="8" t="s">
        <v>292</v>
      </c>
      <c r="B236" s="2">
        <v>0</v>
      </c>
      <c r="C236" s="2">
        <v>0</v>
      </c>
      <c r="D236" s="2">
        <v>0</v>
      </c>
      <c r="E236" s="2">
        <v>4.2016806722689003E-2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t="str">
        <f t="shared" si="30"/>
        <v/>
      </c>
      <c r="M236" t="str">
        <f t="shared" si="31"/>
        <v/>
      </c>
      <c r="N236" t="str">
        <f t="shared" si="32"/>
        <v/>
      </c>
      <c r="O236" t="str">
        <f t="shared" si="33"/>
        <v>Q1</v>
      </c>
      <c r="P236" t="str">
        <f t="shared" si="34"/>
        <v/>
      </c>
      <c r="Q236" t="str">
        <f t="shared" si="35"/>
        <v/>
      </c>
      <c r="R236" t="str">
        <f t="shared" si="36"/>
        <v/>
      </c>
      <c r="S236" t="str">
        <f t="shared" si="37"/>
        <v/>
      </c>
      <c r="T236" t="str">
        <f t="shared" si="38"/>
        <v/>
      </c>
      <c r="U236" t="str">
        <f t="shared" si="39"/>
        <v/>
      </c>
    </row>
    <row r="237" spans="1:21" x14ac:dyDescent="0.2">
      <c r="A237" s="8" t="s">
        <v>293</v>
      </c>
      <c r="B237" s="2">
        <v>0</v>
      </c>
      <c r="C237" s="2">
        <v>0</v>
      </c>
      <c r="D237" s="2">
        <v>0</v>
      </c>
      <c r="E237" s="2">
        <v>1.26050420168067E-2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t="str">
        <f t="shared" si="30"/>
        <v/>
      </c>
      <c r="M237" t="str">
        <f t="shared" si="31"/>
        <v/>
      </c>
      <c r="N237" t="str">
        <f t="shared" si="32"/>
        <v/>
      </c>
      <c r="O237" t="str">
        <f t="shared" si="33"/>
        <v>Q2</v>
      </c>
      <c r="P237" t="str">
        <f t="shared" si="34"/>
        <v/>
      </c>
      <c r="Q237" t="str">
        <f t="shared" si="35"/>
        <v/>
      </c>
      <c r="R237" t="str">
        <f t="shared" si="36"/>
        <v/>
      </c>
      <c r="S237" t="str">
        <f t="shared" si="37"/>
        <v/>
      </c>
      <c r="T237" t="str">
        <f t="shared" si="38"/>
        <v/>
      </c>
      <c r="U237" t="str">
        <f t="shared" si="39"/>
        <v/>
      </c>
    </row>
    <row r="238" spans="1:21" x14ac:dyDescent="0.2">
      <c r="A238" t="s">
        <v>294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0.16279069767441801</v>
      </c>
      <c r="K238" s="2">
        <v>0</v>
      </c>
      <c r="L238" t="str">
        <f t="shared" si="30"/>
        <v/>
      </c>
      <c r="M238" t="str">
        <f t="shared" si="31"/>
        <v/>
      </c>
      <c r="N238" t="str">
        <f t="shared" si="32"/>
        <v/>
      </c>
      <c r="O238" t="str">
        <f t="shared" si="33"/>
        <v/>
      </c>
      <c r="P238" t="str">
        <f t="shared" si="34"/>
        <v/>
      </c>
      <c r="Q238" t="str">
        <f t="shared" si="35"/>
        <v/>
      </c>
      <c r="R238" t="str">
        <f t="shared" si="36"/>
        <v/>
      </c>
      <c r="S238" t="str">
        <f t="shared" si="37"/>
        <v/>
      </c>
      <c r="T238" t="str">
        <f t="shared" si="38"/>
        <v>Q1</v>
      </c>
      <c r="U238" t="str">
        <f t="shared" si="39"/>
        <v/>
      </c>
    </row>
    <row r="239" spans="1:21" x14ac:dyDescent="0.2">
      <c r="A239" t="s">
        <v>295</v>
      </c>
      <c r="B239" s="2">
        <v>0</v>
      </c>
      <c r="C239" s="2">
        <v>0</v>
      </c>
      <c r="D239" s="2">
        <v>0</v>
      </c>
      <c r="E239" s="2">
        <v>8.4033613445378096E-3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t="str">
        <f t="shared" si="30"/>
        <v/>
      </c>
      <c r="M239" t="str">
        <f t="shared" si="31"/>
        <v/>
      </c>
      <c r="N239" t="str">
        <f t="shared" si="32"/>
        <v/>
      </c>
      <c r="O239" t="str">
        <f t="shared" si="33"/>
        <v>Q3</v>
      </c>
      <c r="P239" t="str">
        <f t="shared" si="34"/>
        <v/>
      </c>
      <c r="Q239" t="str">
        <f t="shared" si="35"/>
        <v/>
      </c>
      <c r="R239" t="str">
        <f t="shared" si="36"/>
        <v/>
      </c>
      <c r="S239" t="str">
        <f t="shared" si="37"/>
        <v/>
      </c>
      <c r="T239" t="str">
        <f t="shared" si="38"/>
        <v/>
      </c>
      <c r="U239" t="str">
        <f t="shared" si="39"/>
        <v/>
      </c>
    </row>
    <row r="240" spans="1:21" x14ac:dyDescent="0.2">
      <c r="A240" t="s">
        <v>296</v>
      </c>
      <c r="B240" s="2">
        <v>0</v>
      </c>
      <c r="C240" s="2">
        <v>0</v>
      </c>
      <c r="D240" s="2">
        <v>0</v>
      </c>
      <c r="E240" s="2">
        <v>1.26050420168067E-2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t="str">
        <f t="shared" si="30"/>
        <v/>
      </c>
      <c r="M240" t="str">
        <f t="shared" si="31"/>
        <v/>
      </c>
      <c r="N240" t="str">
        <f t="shared" si="32"/>
        <v/>
      </c>
      <c r="O240" t="str">
        <f t="shared" si="33"/>
        <v>Q2</v>
      </c>
      <c r="P240" t="str">
        <f t="shared" si="34"/>
        <v/>
      </c>
      <c r="Q240" t="str">
        <f t="shared" si="35"/>
        <v/>
      </c>
      <c r="R240" t="str">
        <f t="shared" si="36"/>
        <v/>
      </c>
      <c r="S240" t="str">
        <f t="shared" si="37"/>
        <v/>
      </c>
      <c r="T240" t="str">
        <f t="shared" si="38"/>
        <v/>
      </c>
      <c r="U240" t="str">
        <f t="shared" si="39"/>
        <v/>
      </c>
    </row>
    <row r="241" spans="1:21" x14ac:dyDescent="0.2">
      <c r="A241" t="s">
        <v>297</v>
      </c>
      <c r="B241" s="2">
        <v>0.6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t="str">
        <f t="shared" si="30"/>
        <v>Q2</v>
      </c>
      <c r="M241" t="str">
        <f t="shared" si="31"/>
        <v/>
      </c>
      <c r="N241" t="str">
        <f t="shared" si="32"/>
        <v/>
      </c>
      <c r="O241" t="str">
        <f t="shared" si="33"/>
        <v/>
      </c>
      <c r="P241" t="str">
        <f t="shared" si="34"/>
        <v/>
      </c>
      <c r="Q241" t="str">
        <f t="shared" si="35"/>
        <v/>
      </c>
      <c r="R241" t="str">
        <f t="shared" si="36"/>
        <v/>
      </c>
      <c r="S241" t="str">
        <f t="shared" si="37"/>
        <v/>
      </c>
      <c r="T241" t="str">
        <f t="shared" si="38"/>
        <v/>
      </c>
      <c r="U241" t="str">
        <f t="shared" si="39"/>
        <v/>
      </c>
    </row>
    <row r="242" spans="1:21" x14ac:dyDescent="0.2">
      <c r="A242" t="s">
        <v>298</v>
      </c>
      <c r="B242" s="2">
        <v>0</v>
      </c>
      <c r="C242" s="2">
        <v>0</v>
      </c>
      <c r="D242" s="2">
        <v>0</v>
      </c>
      <c r="E242" s="2">
        <v>1.6806722689075598E-2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t="str">
        <f t="shared" si="30"/>
        <v/>
      </c>
      <c r="M242" t="str">
        <f t="shared" si="31"/>
        <v/>
      </c>
      <c r="N242" t="str">
        <f t="shared" si="32"/>
        <v/>
      </c>
      <c r="O242" t="str">
        <f t="shared" si="33"/>
        <v>Q2</v>
      </c>
      <c r="P242" t="str">
        <f t="shared" si="34"/>
        <v/>
      </c>
      <c r="Q242" t="str">
        <f t="shared" si="35"/>
        <v/>
      </c>
      <c r="R242" t="str">
        <f t="shared" si="36"/>
        <v/>
      </c>
      <c r="S242" t="str">
        <f t="shared" si="37"/>
        <v/>
      </c>
      <c r="T242" t="str">
        <f t="shared" si="38"/>
        <v/>
      </c>
      <c r="U242" t="str">
        <f t="shared" si="39"/>
        <v/>
      </c>
    </row>
    <row r="243" spans="1:21" x14ac:dyDescent="0.2">
      <c r="A243" t="s">
        <v>299</v>
      </c>
      <c r="B243" s="2">
        <v>0</v>
      </c>
      <c r="C243" s="2">
        <v>0</v>
      </c>
      <c r="D243" s="2">
        <v>0</v>
      </c>
      <c r="E243" s="2">
        <v>1.26050420168067E-2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t="str">
        <f t="shared" si="30"/>
        <v/>
      </c>
      <c r="M243" t="str">
        <f t="shared" si="31"/>
        <v/>
      </c>
      <c r="N243" t="str">
        <f t="shared" si="32"/>
        <v/>
      </c>
      <c r="O243" t="str">
        <f t="shared" si="33"/>
        <v>Q2</v>
      </c>
      <c r="P243" t="str">
        <f t="shared" si="34"/>
        <v/>
      </c>
      <c r="Q243" t="str">
        <f t="shared" si="35"/>
        <v/>
      </c>
      <c r="R243" t="str">
        <f t="shared" si="36"/>
        <v/>
      </c>
      <c r="S243" t="str">
        <f t="shared" si="37"/>
        <v/>
      </c>
      <c r="T243" t="str">
        <f t="shared" si="38"/>
        <v/>
      </c>
      <c r="U243" t="str">
        <f t="shared" si="39"/>
        <v/>
      </c>
    </row>
    <row r="244" spans="1:21" x14ac:dyDescent="0.2">
      <c r="A244" t="s">
        <v>300</v>
      </c>
      <c r="B244" s="2">
        <v>0</v>
      </c>
      <c r="C244" s="2">
        <v>0</v>
      </c>
      <c r="D244" s="2">
        <v>0</v>
      </c>
      <c r="E244" s="2">
        <v>4.2016806722688996E-3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t="str">
        <f t="shared" si="30"/>
        <v/>
      </c>
      <c r="M244" t="str">
        <f t="shared" si="31"/>
        <v/>
      </c>
      <c r="N244" t="str">
        <f t="shared" si="32"/>
        <v/>
      </c>
      <c r="O244" t="str">
        <f t="shared" si="33"/>
        <v>Q4</v>
      </c>
      <c r="P244" t="str">
        <f t="shared" si="34"/>
        <v/>
      </c>
      <c r="Q244" t="str">
        <f t="shared" si="35"/>
        <v/>
      </c>
      <c r="R244" t="str">
        <f t="shared" si="36"/>
        <v/>
      </c>
      <c r="S244" t="str">
        <f t="shared" si="37"/>
        <v/>
      </c>
      <c r="T244" t="str">
        <f t="shared" si="38"/>
        <v/>
      </c>
      <c r="U244" t="str">
        <f t="shared" si="39"/>
        <v/>
      </c>
    </row>
    <row r="245" spans="1:21" x14ac:dyDescent="0.2">
      <c r="A245" t="s">
        <v>301</v>
      </c>
      <c r="B245" s="2">
        <v>0</v>
      </c>
      <c r="C245" s="2">
        <v>0.2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t="str">
        <f t="shared" si="30"/>
        <v/>
      </c>
      <c r="M245" t="str">
        <f t="shared" si="31"/>
        <v>Q3</v>
      </c>
      <c r="N245" t="str">
        <f t="shared" si="32"/>
        <v/>
      </c>
      <c r="O245" t="str">
        <f t="shared" si="33"/>
        <v/>
      </c>
      <c r="P245" t="str">
        <f t="shared" si="34"/>
        <v/>
      </c>
      <c r="Q245" t="str">
        <f t="shared" si="35"/>
        <v/>
      </c>
      <c r="R245" t="str">
        <f t="shared" si="36"/>
        <v/>
      </c>
      <c r="S245" t="str">
        <f t="shared" si="37"/>
        <v/>
      </c>
      <c r="T245" t="str">
        <f t="shared" si="38"/>
        <v/>
      </c>
      <c r="U245" t="str">
        <f t="shared" si="39"/>
        <v/>
      </c>
    </row>
    <row r="246" spans="1:21" x14ac:dyDescent="0.2">
      <c r="A246" t="s">
        <v>302</v>
      </c>
      <c r="B246" s="2">
        <v>0</v>
      </c>
      <c r="C246" s="2">
        <v>0.4</v>
      </c>
      <c r="D246" s="2">
        <v>0</v>
      </c>
      <c r="E246" s="2">
        <v>1.6806722689075598E-2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t="str">
        <f t="shared" si="30"/>
        <v/>
      </c>
      <c r="M246" t="str">
        <f t="shared" si="31"/>
        <v>Q2</v>
      </c>
      <c r="N246" t="str">
        <f t="shared" si="32"/>
        <v/>
      </c>
      <c r="O246" t="str">
        <f t="shared" si="33"/>
        <v>Q2</v>
      </c>
      <c r="P246" t="str">
        <f t="shared" si="34"/>
        <v/>
      </c>
      <c r="Q246" t="str">
        <f t="shared" si="35"/>
        <v/>
      </c>
      <c r="R246" t="str">
        <f t="shared" si="36"/>
        <v/>
      </c>
      <c r="S246" t="str">
        <f t="shared" si="37"/>
        <v/>
      </c>
      <c r="T246" t="str">
        <f t="shared" si="38"/>
        <v/>
      </c>
      <c r="U246" t="str">
        <f t="shared" si="39"/>
        <v/>
      </c>
    </row>
    <row r="247" spans="1:21" x14ac:dyDescent="0.2">
      <c r="A247" t="s">
        <v>303</v>
      </c>
      <c r="B247" s="2">
        <v>0</v>
      </c>
      <c r="C247" s="2">
        <v>0</v>
      </c>
      <c r="D247" s="2">
        <v>0</v>
      </c>
      <c r="E247" s="2">
        <v>8.4033613445378096E-3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t="str">
        <f t="shared" si="30"/>
        <v/>
      </c>
      <c r="M247" t="str">
        <f t="shared" si="31"/>
        <v/>
      </c>
      <c r="N247" t="str">
        <f t="shared" si="32"/>
        <v/>
      </c>
      <c r="O247" t="str">
        <f t="shared" si="33"/>
        <v>Q3</v>
      </c>
      <c r="P247" t="str">
        <f t="shared" si="34"/>
        <v/>
      </c>
      <c r="Q247" t="str">
        <f t="shared" si="35"/>
        <v/>
      </c>
      <c r="R247" t="str">
        <f t="shared" si="36"/>
        <v/>
      </c>
      <c r="S247" t="str">
        <f t="shared" si="37"/>
        <v/>
      </c>
      <c r="T247" t="str">
        <f t="shared" si="38"/>
        <v/>
      </c>
      <c r="U247" t="str">
        <f t="shared" si="39"/>
        <v/>
      </c>
    </row>
    <row r="248" spans="1:21" x14ac:dyDescent="0.2">
      <c r="A248" t="s">
        <v>304</v>
      </c>
      <c r="B248" s="2">
        <v>0</v>
      </c>
      <c r="C248" s="2">
        <v>0</v>
      </c>
      <c r="D248" s="2">
        <v>0</v>
      </c>
      <c r="E248" s="2">
        <v>2.94117647058823E-2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t="str">
        <f t="shared" si="30"/>
        <v/>
      </c>
      <c r="M248" t="str">
        <f t="shared" si="31"/>
        <v/>
      </c>
      <c r="N248" t="str">
        <f t="shared" si="32"/>
        <v/>
      </c>
      <c r="O248" t="str">
        <f t="shared" si="33"/>
        <v>Q1</v>
      </c>
      <c r="P248" t="str">
        <f t="shared" si="34"/>
        <v/>
      </c>
      <c r="Q248" t="str">
        <f t="shared" si="35"/>
        <v/>
      </c>
      <c r="R248" t="str">
        <f t="shared" si="36"/>
        <v/>
      </c>
      <c r="S248" t="str">
        <f t="shared" si="37"/>
        <v/>
      </c>
      <c r="T248" t="str">
        <f t="shared" si="38"/>
        <v/>
      </c>
      <c r="U248" t="str">
        <f t="shared" si="39"/>
        <v/>
      </c>
    </row>
    <row r="249" spans="1:21" x14ac:dyDescent="0.2">
      <c r="A249" t="s">
        <v>305</v>
      </c>
      <c r="B249" s="2">
        <v>0</v>
      </c>
      <c r="C249" s="2">
        <v>0</v>
      </c>
      <c r="D249" s="2">
        <v>0</v>
      </c>
      <c r="E249" s="2">
        <v>1.26050420168067E-2</v>
      </c>
      <c r="F249" s="2">
        <v>0</v>
      </c>
      <c r="G249" s="2">
        <v>0</v>
      </c>
      <c r="H249" s="2">
        <v>0</v>
      </c>
      <c r="I249" s="2">
        <v>0</v>
      </c>
      <c r="J249" s="2">
        <v>6.9767441860465101E-2</v>
      </c>
      <c r="K249" s="2">
        <v>0</v>
      </c>
      <c r="L249" t="str">
        <f t="shared" si="30"/>
        <v/>
      </c>
      <c r="M249" t="str">
        <f t="shared" si="31"/>
        <v/>
      </c>
      <c r="N249" t="str">
        <f t="shared" si="32"/>
        <v/>
      </c>
      <c r="O249" t="str">
        <f t="shared" si="33"/>
        <v>Q2</v>
      </c>
      <c r="P249" t="str">
        <f t="shared" si="34"/>
        <v/>
      </c>
      <c r="Q249" t="str">
        <f t="shared" si="35"/>
        <v/>
      </c>
      <c r="R249" t="str">
        <f t="shared" si="36"/>
        <v/>
      </c>
      <c r="S249" t="str">
        <f t="shared" si="37"/>
        <v/>
      </c>
      <c r="T249" t="str">
        <f t="shared" si="38"/>
        <v>Q2</v>
      </c>
      <c r="U249" t="str">
        <f t="shared" si="39"/>
        <v/>
      </c>
    </row>
    <row r="250" spans="1:21" x14ac:dyDescent="0.2">
      <c r="A250" t="s">
        <v>306</v>
      </c>
      <c r="B250" s="2">
        <v>0</v>
      </c>
      <c r="C250" s="2">
        <v>0</v>
      </c>
      <c r="D250" s="2">
        <v>0</v>
      </c>
      <c r="E250" s="2">
        <v>4.2016806722688996E-3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t="str">
        <f t="shared" si="30"/>
        <v/>
      </c>
      <c r="M250" t="str">
        <f t="shared" si="31"/>
        <v/>
      </c>
      <c r="N250" t="str">
        <f t="shared" si="32"/>
        <v/>
      </c>
      <c r="O250" t="str">
        <f t="shared" si="33"/>
        <v>Q4</v>
      </c>
      <c r="P250" t="str">
        <f t="shared" si="34"/>
        <v/>
      </c>
      <c r="Q250" t="str">
        <f t="shared" si="35"/>
        <v/>
      </c>
      <c r="R250" t="str">
        <f t="shared" si="36"/>
        <v/>
      </c>
      <c r="S250" t="str">
        <f t="shared" si="37"/>
        <v/>
      </c>
      <c r="T250" t="str">
        <f t="shared" si="38"/>
        <v/>
      </c>
      <c r="U250" t="str">
        <f t="shared" si="39"/>
        <v/>
      </c>
    </row>
    <row r="251" spans="1:21" x14ac:dyDescent="0.2">
      <c r="A251" t="s">
        <v>307</v>
      </c>
      <c r="B251" s="2">
        <v>0</v>
      </c>
      <c r="C251" s="2">
        <v>0</v>
      </c>
      <c r="D251" s="2">
        <v>0</v>
      </c>
      <c r="E251" s="2">
        <v>1.6806722689075598E-2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t="str">
        <f t="shared" si="30"/>
        <v/>
      </c>
      <c r="M251" t="str">
        <f t="shared" si="31"/>
        <v/>
      </c>
      <c r="N251" t="str">
        <f t="shared" si="32"/>
        <v/>
      </c>
      <c r="O251" t="str">
        <f t="shared" si="33"/>
        <v>Q2</v>
      </c>
      <c r="P251" t="str">
        <f t="shared" si="34"/>
        <v/>
      </c>
      <c r="Q251" t="str">
        <f t="shared" si="35"/>
        <v/>
      </c>
      <c r="R251" t="str">
        <f t="shared" si="36"/>
        <v/>
      </c>
      <c r="S251" t="str">
        <f t="shared" si="37"/>
        <v/>
      </c>
      <c r="T251" t="str">
        <f t="shared" si="38"/>
        <v/>
      </c>
      <c r="U251" t="str">
        <f t="shared" si="39"/>
        <v/>
      </c>
    </row>
    <row r="252" spans="1:21" x14ac:dyDescent="0.2">
      <c r="A252" t="s">
        <v>308</v>
      </c>
      <c r="B252" s="2">
        <v>0</v>
      </c>
      <c r="C252" s="2">
        <v>0</v>
      </c>
      <c r="D252" s="2">
        <v>0</v>
      </c>
      <c r="E252" s="2">
        <v>2.5210084033613401E-2</v>
      </c>
      <c r="F252" s="2">
        <v>7.69230769230769E-2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t="str">
        <f t="shared" si="30"/>
        <v/>
      </c>
      <c r="M252" t="str">
        <f t="shared" si="31"/>
        <v/>
      </c>
      <c r="N252" t="str">
        <f t="shared" si="32"/>
        <v/>
      </c>
      <c r="O252" t="str">
        <f t="shared" si="33"/>
        <v>Q1</v>
      </c>
      <c r="P252" t="str">
        <f t="shared" si="34"/>
        <v>Q2</v>
      </c>
      <c r="Q252" t="str">
        <f t="shared" si="35"/>
        <v/>
      </c>
      <c r="R252" t="str">
        <f t="shared" si="36"/>
        <v/>
      </c>
      <c r="S252" t="str">
        <f t="shared" si="37"/>
        <v/>
      </c>
      <c r="T252" t="str">
        <f t="shared" si="38"/>
        <v/>
      </c>
      <c r="U252" t="str">
        <f t="shared" si="39"/>
        <v/>
      </c>
    </row>
    <row r="253" spans="1:21" x14ac:dyDescent="0.2">
      <c r="A253" t="s">
        <v>309</v>
      </c>
      <c r="B253" s="2">
        <v>0</v>
      </c>
      <c r="C253" s="2">
        <v>0</v>
      </c>
      <c r="D253" s="2">
        <v>0</v>
      </c>
      <c r="E253" s="2">
        <v>0</v>
      </c>
      <c r="F253" s="2">
        <v>0.115384615384615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t="str">
        <f t="shared" si="30"/>
        <v/>
      </c>
      <c r="M253" t="str">
        <f t="shared" si="31"/>
        <v/>
      </c>
      <c r="N253" t="str">
        <f t="shared" si="32"/>
        <v/>
      </c>
      <c r="O253" t="str">
        <f t="shared" si="33"/>
        <v/>
      </c>
      <c r="P253" t="str">
        <f t="shared" si="34"/>
        <v>Q2</v>
      </c>
      <c r="Q253" t="str">
        <f t="shared" si="35"/>
        <v/>
      </c>
      <c r="R253" t="str">
        <f t="shared" si="36"/>
        <v/>
      </c>
      <c r="S253" t="str">
        <f t="shared" si="37"/>
        <v/>
      </c>
      <c r="T253" t="str">
        <f t="shared" si="38"/>
        <v/>
      </c>
      <c r="U253" t="str">
        <f t="shared" si="39"/>
        <v/>
      </c>
    </row>
    <row r="254" spans="1:21" x14ac:dyDescent="0.2">
      <c r="A254" t="s">
        <v>310</v>
      </c>
      <c r="B254" s="2">
        <v>0</v>
      </c>
      <c r="C254" s="2">
        <v>0</v>
      </c>
      <c r="D254" s="2">
        <v>0</v>
      </c>
      <c r="E254" s="2">
        <v>2.94117647058823E-2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t="str">
        <f t="shared" si="30"/>
        <v/>
      </c>
      <c r="M254" t="str">
        <f t="shared" si="31"/>
        <v/>
      </c>
      <c r="N254" t="str">
        <f t="shared" si="32"/>
        <v/>
      </c>
      <c r="O254" t="str">
        <f t="shared" si="33"/>
        <v>Q1</v>
      </c>
      <c r="P254" t="str">
        <f t="shared" si="34"/>
        <v/>
      </c>
      <c r="Q254" t="str">
        <f t="shared" si="35"/>
        <v/>
      </c>
      <c r="R254" t="str">
        <f t="shared" si="36"/>
        <v/>
      </c>
      <c r="S254" t="str">
        <f t="shared" si="37"/>
        <v/>
      </c>
      <c r="T254" t="str">
        <f t="shared" si="38"/>
        <v/>
      </c>
      <c r="U254" t="str">
        <f t="shared" si="39"/>
        <v/>
      </c>
    </row>
    <row r="255" spans="1:21" x14ac:dyDescent="0.2">
      <c r="A255" s="8" t="s">
        <v>311</v>
      </c>
      <c r="B255" s="2">
        <v>0</v>
      </c>
      <c r="C255" s="2">
        <v>0</v>
      </c>
      <c r="D255" s="2">
        <v>0.952380952380952</v>
      </c>
      <c r="E255" s="2">
        <v>2.94117647058823E-2</v>
      </c>
      <c r="F255" s="2">
        <v>0.115384615384615</v>
      </c>
      <c r="G255" s="2">
        <v>0</v>
      </c>
      <c r="H255" s="2">
        <v>0</v>
      </c>
      <c r="I255" s="2">
        <v>0</v>
      </c>
      <c r="J255" s="2">
        <v>4.6511627906976702E-2</v>
      </c>
      <c r="K255" s="2">
        <v>0</v>
      </c>
      <c r="L255" t="str">
        <f t="shared" si="30"/>
        <v/>
      </c>
      <c r="M255" t="str">
        <f t="shared" si="31"/>
        <v/>
      </c>
      <c r="N255" t="str">
        <f t="shared" si="32"/>
        <v>Q1</v>
      </c>
      <c r="O255" t="str">
        <f t="shared" si="33"/>
        <v>Q1</v>
      </c>
      <c r="P255" t="str">
        <f t="shared" si="34"/>
        <v>Q2</v>
      </c>
      <c r="Q255" t="str">
        <f t="shared" si="35"/>
        <v/>
      </c>
      <c r="R255" t="str">
        <f t="shared" si="36"/>
        <v/>
      </c>
      <c r="S255" t="str">
        <f t="shared" si="37"/>
        <v/>
      </c>
      <c r="T255" t="str">
        <f t="shared" si="38"/>
        <v>Q3</v>
      </c>
      <c r="U255" t="str">
        <f t="shared" si="39"/>
        <v/>
      </c>
    </row>
    <row r="256" spans="1:21" x14ac:dyDescent="0.2">
      <c r="A256" s="8" t="s">
        <v>312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2.3255813953488299E-2</v>
      </c>
      <c r="K256" s="2">
        <v>0</v>
      </c>
      <c r="L256" t="str">
        <f t="shared" si="30"/>
        <v/>
      </c>
      <c r="M256" t="str">
        <f t="shared" si="31"/>
        <v/>
      </c>
      <c r="N256" t="str">
        <f t="shared" si="32"/>
        <v/>
      </c>
      <c r="O256" t="str">
        <f t="shared" si="33"/>
        <v/>
      </c>
      <c r="P256" t="str">
        <f t="shared" si="34"/>
        <v/>
      </c>
      <c r="Q256" t="str">
        <f t="shared" si="35"/>
        <v/>
      </c>
      <c r="R256" t="str">
        <f t="shared" si="36"/>
        <v/>
      </c>
      <c r="S256" t="str">
        <f t="shared" si="37"/>
        <v/>
      </c>
      <c r="T256" t="str">
        <f t="shared" si="38"/>
        <v>Q4</v>
      </c>
      <c r="U256" t="str">
        <f t="shared" si="39"/>
        <v/>
      </c>
    </row>
    <row r="257" spans="1:21" x14ac:dyDescent="0.2">
      <c r="A257" s="8" t="s">
        <v>313</v>
      </c>
      <c r="B257" s="2">
        <v>0</v>
      </c>
      <c r="C257" s="2">
        <v>0</v>
      </c>
      <c r="D257" s="2">
        <v>0</v>
      </c>
      <c r="E257" s="2">
        <v>1.26050420168067E-2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0.23529411764705799</v>
      </c>
      <c r="L257" t="str">
        <f t="shared" si="30"/>
        <v/>
      </c>
      <c r="M257" t="str">
        <f t="shared" si="31"/>
        <v/>
      </c>
      <c r="N257" t="str">
        <f t="shared" si="32"/>
        <v/>
      </c>
      <c r="O257" t="str">
        <f t="shared" si="33"/>
        <v>Q2</v>
      </c>
      <c r="P257" t="str">
        <f t="shared" si="34"/>
        <v/>
      </c>
      <c r="Q257" t="str">
        <f t="shared" si="35"/>
        <v/>
      </c>
      <c r="R257" t="str">
        <f t="shared" si="36"/>
        <v/>
      </c>
      <c r="S257" t="str">
        <f t="shared" si="37"/>
        <v/>
      </c>
      <c r="T257" t="str">
        <f t="shared" si="38"/>
        <v/>
      </c>
      <c r="U257" t="str">
        <f t="shared" si="39"/>
        <v>Q2</v>
      </c>
    </row>
    <row r="258" spans="1:21" x14ac:dyDescent="0.2">
      <c r="A258" t="s">
        <v>314</v>
      </c>
      <c r="B258" s="2">
        <v>0</v>
      </c>
      <c r="C258" s="2">
        <v>0</v>
      </c>
      <c r="D258" s="2">
        <v>0</v>
      </c>
      <c r="E258" s="2">
        <v>2.5210084033613401E-2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t="str">
        <f t="shared" si="30"/>
        <v/>
      </c>
      <c r="M258" t="str">
        <f t="shared" si="31"/>
        <v/>
      </c>
      <c r="N258" t="str">
        <f t="shared" si="32"/>
        <v/>
      </c>
      <c r="O258" t="str">
        <f t="shared" si="33"/>
        <v>Q1</v>
      </c>
      <c r="P258" t="str">
        <f t="shared" si="34"/>
        <v/>
      </c>
      <c r="Q258" t="str">
        <f t="shared" si="35"/>
        <v/>
      </c>
      <c r="R258" t="str">
        <f t="shared" si="36"/>
        <v/>
      </c>
      <c r="S258" t="str">
        <f t="shared" si="37"/>
        <v/>
      </c>
      <c r="T258" t="str">
        <f t="shared" si="38"/>
        <v/>
      </c>
      <c r="U258" t="str">
        <f t="shared" si="39"/>
        <v/>
      </c>
    </row>
    <row r="259" spans="1:21" x14ac:dyDescent="0.2">
      <c r="A259" t="s">
        <v>315</v>
      </c>
      <c r="B259" s="2">
        <v>0</v>
      </c>
      <c r="C259" s="2">
        <v>0</v>
      </c>
      <c r="D259" s="2">
        <v>0</v>
      </c>
      <c r="E259" s="2">
        <v>1.26050420168067E-2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t="str">
        <f t="shared" ref="L259:L300" si="40">IF(B259=0,"","Q"&amp;INT(4*( RANK(B259, IF($B$2:$B$300&lt;&gt;0, $B$2:$B$300), 0) - 1 ) / COUNTIF($B$2:$B$300,"&gt;0")) + 1)</f>
        <v/>
      </c>
      <c r="M259" t="str">
        <f t="shared" ref="M259:M300" si="41">IF(C259=0,"","Q"&amp;INT(4*( RANK(C259, IF($C$2:$C$300&lt;&gt;0, $C$2:$C$300), 0) - 1 ) / COUNTIF($C$2:$C$300,"&gt;0")) + 1)</f>
        <v/>
      </c>
      <c r="N259" t="str">
        <f t="shared" ref="N259:N300" si="42">IF(D259=0,"","Q"&amp;INT(4*( RANK(D259, IF($D$2:$D$300&lt;&gt;0, $D$2:$D$300), 0) - 1 ) / COUNTIF($D$2:$D$300,"&gt;0")) + 1)</f>
        <v/>
      </c>
      <c r="O259" t="str">
        <f t="shared" ref="O259:O300" si="43">IF(E259=0,"","Q"&amp;INT(4*( RANK(E259, IF($E$2:$E$300&lt;&gt;0, $E$2:$E$300), 0) - 1 ) / COUNTIF($E$2:$E$300,"&gt;0")) + 1)</f>
        <v>Q2</v>
      </c>
      <c r="P259" t="str">
        <f t="shared" ref="P259:P300" si="44">IF(F259=0,"","Q"&amp;INT(4*( RANK(F259, IF($F$2:$F$300&lt;&gt;0, $F$2:$F$300), 0) - 1 ) / COUNTIF($F$2:$F$300,"&gt;0")) + 1)</f>
        <v/>
      </c>
      <c r="Q259" t="str">
        <f t="shared" ref="Q259:Q300" si="45">IF(G259=0,"","Q"&amp;INT(4*( RANK(G259, IF($G$2:$G$300&lt;&gt;0, $G$2:$G$300), 0) - 1 ) / COUNTIF($G$2:$G$300,"&gt;0")) + 1)</f>
        <v/>
      </c>
      <c r="R259" t="str">
        <f t="shared" ref="R259:R300" si="46">IF(H259=0,"","Q"&amp;INT(4*( RANK(H259, IF($H$2:$H$300&lt;&gt;0, $H$2:$H$300), 0) - 1 ) / COUNTIF($H$2:$H$300,"&gt;0")) + 1)</f>
        <v/>
      </c>
      <c r="S259" t="str">
        <f t="shared" ref="S259:S300" si="47">IF(I259=0,"","Q"&amp;INT(4*( RANK(I259, IF($I$2:$I$300&lt;&gt;0, $I$2:$I$300), 0) - 1 ) / COUNTIF($I$2:$I$300,"&gt;0")) + 1)</f>
        <v/>
      </c>
      <c r="T259" t="str">
        <f t="shared" ref="T259:T300" si="48">IF(J259=0,"","Q"&amp;INT(4*( RANK(J259, IF($J$2:$J$300&lt;&gt;0, $J$2:$J$300), 0) - 1 ) / COUNTIF($J$2:$J$300,"&gt;0")) + 1)</f>
        <v/>
      </c>
      <c r="U259" t="str">
        <f t="shared" ref="U259:U300" si="49">IF(K259=0,"","Q"&amp;INT(4*( RANK(K259, IF($K$2:$K$300&lt;&gt;0, $K$2:$K$300), 0) - 1 ) / COUNTIF($K$2:$K$300,"&gt;0")) + 1)</f>
        <v/>
      </c>
    </row>
    <row r="260" spans="1:21" x14ac:dyDescent="0.2">
      <c r="A260" t="s">
        <v>316</v>
      </c>
      <c r="B260" s="2">
        <v>0</v>
      </c>
      <c r="C260" s="2">
        <v>0</v>
      </c>
      <c r="D260" s="2">
        <v>9.5238095238095205E-2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t="str">
        <f t="shared" si="40"/>
        <v/>
      </c>
      <c r="M260" t="str">
        <f t="shared" si="41"/>
        <v/>
      </c>
      <c r="N260" t="str">
        <f t="shared" si="42"/>
        <v>Q3</v>
      </c>
      <c r="O260" t="str">
        <f t="shared" si="43"/>
        <v/>
      </c>
      <c r="P260" t="str">
        <f t="shared" si="44"/>
        <v/>
      </c>
      <c r="Q260" t="str">
        <f t="shared" si="45"/>
        <v/>
      </c>
      <c r="R260" t="str">
        <f t="shared" si="46"/>
        <v/>
      </c>
      <c r="S260" t="str">
        <f t="shared" si="47"/>
        <v/>
      </c>
      <c r="T260" t="str">
        <f t="shared" si="48"/>
        <v/>
      </c>
      <c r="U260" t="str">
        <f t="shared" si="49"/>
        <v/>
      </c>
    </row>
    <row r="261" spans="1:21" x14ac:dyDescent="0.2">
      <c r="A261" t="s">
        <v>317</v>
      </c>
      <c r="B261" s="2">
        <v>0</v>
      </c>
      <c r="C261" s="2">
        <v>0</v>
      </c>
      <c r="D261" s="2">
        <v>0</v>
      </c>
      <c r="E261" s="2">
        <v>4.2016806722688996E-3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t="str">
        <f t="shared" si="40"/>
        <v/>
      </c>
      <c r="M261" t="str">
        <f t="shared" si="41"/>
        <v/>
      </c>
      <c r="N261" t="str">
        <f t="shared" si="42"/>
        <v/>
      </c>
      <c r="O261" t="str">
        <f t="shared" si="43"/>
        <v>Q4</v>
      </c>
      <c r="P261" t="str">
        <f t="shared" si="44"/>
        <v/>
      </c>
      <c r="Q261" t="str">
        <f t="shared" si="45"/>
        <v/>
      </c>
      <c r="R261" t="str">
        <f t="shared" si="46"/>
        <v/>
      </c>
      <c r="S261" t="str">
        <f t="shared" si="47"/>
        <v/>
      </c>
      <c r="T261" t="str">
        <f t="shared" si="48"/>
        <v/>
      </c>
      <c r="U261" t="str">
        <f t="shared" si="49"/>
        <v/>
      </c>
    </row>
    <row r="262" spans="1:21" x14ac:dyDescent="0.2">
      <c r="A262" t="s">
        <v>318</v>
      </c>
      <c r="B262" s="2">
        <v>0</v>
      </c>
      <c r="C262" s="2">
        <v>0</v>
      </c>
      <c r="D262" s="2">
        <v>0</v>
      </c>
      <c r="E262" s="2">
        <v>1.6806722689075598E-2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t="str">
        <f t="shared" si="40"/>
        <v/>
      </c>
      <c r="M262" t="str">
        <f t="shared" si="41"/>
        <v/>
      </c>
      <c r="N262" t="str">
        <f t="shared" si="42"/>
        <v/>
      </c>
      <c r="O262" t="str">
        <f t="shared" si="43"/>
        <v>Q2</v>
      </c>
      <c r="P262" t="str">
        <f t="shared" si="44"/>
        <v/>
      </c>
      <c r="Q262" t="str">
        <f t="shared" si="45"/>
        <v/>
      </c>
      <c r="R262" t="str">
        <f t="shared" si="46"/>
        <v/>
      </c>
      <c r="S262" t="str">
        <f t="shared" si="47"/>
        <v/>
      </c>
      <c r="T262" t="str">
        <f t="shared" si="48"/>
        <v/>
      </c>
      <c r="U262" t="str">
        <f t="shared" si="49"/>
        <v/>
      </c>
    </row>
    <row r="263" spans="1:21" x14ac:dyDescent="0.2">
      <c r="A263" s="8" t="s">
        <v>319</v>
      </c>
      <c r="B263" s="2">
        <v>0</v>
      </c>
      <c r="C263" s="2">
        <v>0</v>
      </c>
      <c r="D263" s="2">
        <v>0</v>
      </c>
      <c r="E263" s="2">
        <v>8.4033613445378096E-3</v>
      </c>
      <c r="F263" s="2">
        <v>0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t="str">
        <f t="shared" si="40"/>
        <v/>
      </c>
      <c r="M263" t="str">
        <f t="shared" si="41"/>
        <v/>
      </c>
      <c r="N263" t="str">
        <f t="shared" si="42"/>
        <v/>
      </c>
      <c r="O263" t="str">
        <f t="shared" si="43"/>
        <v>Q3</v>
      </c>
      <c r="P263" t="str">
        <f t="shared" si="44"/>
        <v/>
      </c>
      <c r="Q263" t="str">
        <f t="shared" si="45"/>
        <v>Q1</v>
      </c>
      <c r="R263" t="str">
        <f t="shared" si="46"/>
        <v/>
      </c>
      <c r="S263" t="str">
        <f t="shared" si="47"/>
        <v/>
      </c>
      <c r="T263" t="str">
        <f t="shared" si="48"/>
        <v/>
      </c>
      <c r="U263" t="str">
        <f t="shared" si="49"/>
        <v/>
      </c>
    </row>
    <row r="264" spans="1:21" x14ac:dyDescent="0.2">
      <c r="A264" t="s">
        <v>320</v>
      </c>
      <c r="B264" s="2">
        <v>0</v>
      </c>
      <c r="C264" s="2">
        <v>0</v>
      </c>
      <c r="D264" s="2">
        <v>0</v>
      </c>
      <c r="E264" s="2">
        <v>0</v>
      </c>
      <c r="F264" s="2">
        <v>3.8461538461538401E-2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t="str">
        <f t="shared" si="40"/>
        <v/>
      </c>
      <c r="M264" t="str">
        <f t="shared" si="41"/>
        <v/>
      </c>
      <c r="N264" t="str">
        <f t="shared" si="42"/>
        <v/>
      </c>
      <c r="O264" t="str">
        <f t="shared" si="43"/>
        <v/>
      </c>
      <c r="P264" t="str">
        <f t="shared" si="44"/>
        <v>Q4</v>
      </c>
      <c r="Q264" t="str">
        <f t="shared" si="45"/>
        <v/>
      </c>
      <c r="R264" t="str">
        <f t="shared" si="46"/>
        <v/>
      </c>
      <c r="S264" t="str">
        <f t="shared" si="47"/>
        <v/>
      </c>
      <c r="T264" t="str">
        <f t="shared" si="48"/>
        <v/>
      </c>
      <c r="U264" t="str">
        <f t="shared" si="49"/>
        <v/>
      </c>
    </row>
    <row r="265" spans="1:21" x14ac:dyDescent="0.2">
      <c r="A265" t="s">
        <v>321</v>
      </c>
      <c r="B265" s="2">
        <v>0</v>
      </c>
      <c r="C265" s="2">
        <v>0</v>
      </c>
      <c r="D265" s="2">
        <v>0</v>
      </c>
      <c r="E265" s="2">
        <v>4.2016806722688996E-3</v>
      </c>
      <c r="F265" s="2">
        <v>3.8461538461538401E-2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t="str">
        <f t="shared" si="40"/>
        <v/>
      </c>
      <c r="M265" t="str">
        <f t="shared" si="41"/>
        <v/>
      </c>
      <c r="N265" t="str">
        <f t="shared" si="42"/>
        <v/>
      </c>
      <c r="O265" t="str">
        <f t="shared" si="43"/>
        <v>Q4</v>
      </c>
      <c r="P265" t="str">
        <f t="shared" si="44"/>
        <v>Q4</v>
      </c>
      <c r="Q265" t="str">
        <f t="shared" si="45"/>
        <v/>
      </c>
      <c r="R265" t="str">
        <f t="shared" si="46"/>
        <v/>
      </c>
      <c r="S265" t="str">
        <f t="shared" si="47"/>
        <v/>
      </c>
      <c r="T265" t="str">
        <f t="shared" si="48"/>
        <v/>
      </c>
      <c r="U265" t="str">
        <f t="shared" si="49"/>
        <v/>
      </c>
    </row>
    <row r="266" spans="1:21" x14ac:dyDescent="0.2">
      <c r="A266" s="8" t="s">
        <v>322</v>
      </c>
      <c r="B266" s="2">
        <v>0</v>
      </c>
      <c r="C266" s="2">
        <v>0</v>
      </c>
      <c r="D266" s="2">
        <v>0</v>
      </c>
      <c r="E266" s="2">
        <v>2.1008403361344501E-2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t="str">
        <f t="shared" si="40"/>
        <v/>
      </c>
      <c r="M266" t="str">
        <f t="shared" si="41"/>
        <v/>
      </c>
      <c r="N266" t="str">
        <f t="shared" si="42"/>
        <v/>
      </c>
      <c r="O266" t="str">
        <f t="shared" si="43"/>
        <v>Q2</v>
      </c>
      <c r="P266" t="str">
        <f t="shared" si="44"/>
        <v/>
      </c>
      <c r="Q266" t="str">
        <f t="shared" si="45"/>
        <v/>
      </c>
      <c r="R266" t="str">
        <f t="shared" si="46"/>
        <v/>
      </c>
      <c r="S266" t="str">
        <f t="shared" si="47"/>
        <v/>
      </c>
      <c r="T266" t="str">
        <f t="shared" si="48"/>
        <v/>
      </c>
      <c r="U266" t="str">
        <f t="shared" si="49"/>
        <v/>
      </c>
    </row>
    <row r="267" spans="1:21" x14ac:dyDescent="0.2">
      <c r="A267" s="8" t="s">
        <v>323</v>
      </c>
      <c r="B267" s="2">
        <v>0</v>
      </c>
      <c r="C267" s="2">
        <v>0</v>
      </c>
      <c r="D267" s="2">
        <v>0</v>
      </c>
      <c r="E267" s="2">
        <v>4.6218487394957902E-2</v>
      </c>
      <c r="F267" s="2">
        <v>0</v>
      </c>
      <c r="G267" s="2">
        <v>0</v>
      </c>
      <c r="H267" s="2">
        <v>0</v>
      </c>
      <c r="I267" s="2">
        <v>0</v>
      </c>
      <c r="J267" s="2">
        <v>0.232558139534883</v>
      </c>
      <c r="K267" s="2">
        <v>0</v>
      </c>
      <c r="L267" t="str">
        <f t="shared" si="40"/>
        <v/>
      </c>
      <c r="M267" t="str">
        <f t="shared" si="41"/>
        <v/>
      </c>
      <c r="N267" t="str">
        <f t="shared" si="42"/>
        <v/>
      </c>
      <c r="O267" t="str">
        <f t="shared" si="43"/>
        <v>Q1</v>
      </c>
      <c r="P267" t="str">
        <f t="shared" si="44"/>
        <v/>
      </c>
      <c r="Q267" t="str">
        <f t="shared" si="45"/>
        <v/>
      </c>
      <c r="R267" t="str">
        <f t="shared" si="46"/>
        <v/>
      </c>
      <c r="S267" t="str">
        <f t="shared" si="47"/>
        <v/>
      </c>
      <c r="T267" t="str">
        <f t="shared" si="48"/>
        <v>Q1</v>
      </c>
      <c r="U267" t="str">
        <f t="shared" si="49"/>
        <v/>
      </c>
    </row>
    <row r="268" spans="1:21" x14ac:dyDescent="0.2">
      <c r="A268" s="8" t="s">
        <v>324</v>
      </c>
      <c r="B268" s="2">
        <v>0</v>
      </c>
      <c r="C268" s="2">
        <v>0</v>
      </c>
      <c r="D268" s="2">
        <v>0</v>
      </c>
      <c r="E268" s="2">
        <v>7.9831932773109196E-2</v>
      </c>
      <c r="F268" s="2">
        <v>0</v>
      </c>
      <c r="G268" s="2">
        <v>0</v>
      </c>
      <c r="H268" s="2">
        <v>0</v>
      </c>
      <c r="I268" s="2">
        <v>0</v>
      </c>
      <c r="J268" s="2">
        <v>6.9767441860465101E-2</v>
      </c>
      <c r="K268" s="2">
        <v>0</v>
      </c>
      <c r="L268" t="str">
        <f t="shared" si="40"/>
        <v/>
      </c>
      <c r="M268" t="str">
        <f t="shared" si="41"/>
        <v/>
      </c>
      <c r="N268" t="str">
        <f t="shared" si="42"/>
        <v/>
      </c>
      <c r="O268" t="str">
        <f t="shared" si="43"/>
        <v>Q1</v>
      </c>
      <c r="P268" t="str">
        <f t="shared" si="44"/>
        <v/>
      </c>
      <c r="Q268" t="str">
        <f t="shared" si="45"/>
        <v/>
      </c>
      <c r="R268" t="str">
        <f t="shared" si="46"/>
        <v/>
      </c>
      <c r="S268" t="str">
        <f t="shared" si="47"/>
        <v/>
      </c>
      <c r="T268" t="str">
        <f t="shared" si="48"/>
        <v>Q2</v>
      </c>
      <c r="U268" t="str">
        <f t="shared" si="49"/>
        <v/>
      </c>
    </row>
    <row r="269" spans="1:21" x14ac:dyDescent="0.2">
      <c r="A269" s="8" t="s">
        <v>325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2.3255813953488299E-2</v>
      </c>
      <c r="K269" s="2">
        <v>0</v>
      </c>
      <c r="L269" t="str">
        <f t="shared" si="40"/>
        <v/>
      </c>
      <c r="M269" t="str">
        <f t="shared" si="41"/>
        <v/>
      </c>
      <c r="N269" t="str">
        <f t="shared" si="42"/>
        <v/>
      </c>
      <c r="O269" t="str">
        <f t="shared" si="43"/>
        <v/>
      </c>
      <c r="P269" t="str">
        <f t="shared" si="44"/>
        <v/>
      </c>
      <c r="Q269" t="str">
        <f t="shared" si="45"/>
        <v/>
      </c>
      <c r="R269" t="str">
        <f t="shared" si="46"/>
        <v/>
      </c>
      <c r="S269" t="str">
        <f t="shared" si="47"/>
        <v/>
      </c>
      <c r="T269" t="str">
        <f t="shared" si="48"/>
        <v>Q4</v>
      </c>
      <c r="U269" t="str">
        <f t="shared" si="49"/>
        <v/>
      </c>
    </row>
    <row r="270" spans="1:21" x14ac:dyDescent="0.2">
      <c r="A270" s="8" t="s">
        <v>326</v>
      </c>
      <c r="B270" s="2">
        <v>0</v>
      </c>
      <c r="C270" s="2">
        <v>0</v>
      </c>
      <c r="D270" s="2">
        <v>0</v>
      </c>
      <c r="E270" s="2">
        <v>8.4033613445378096E-3</v>
      </c>
      <c r="F270" s="2">
        <v>0</v>
      </c>
      <c r="G270" s="2">
        <v>0</v>
      </c>
      <c r="H270" s="2">
        <v>0</v>
      </c>
      <c r="I270" s="2">
        <v>0</v>
      </c>
      <c r="J270" s="2">
        <v>2.3255813953488299E-2</v>
      </c>
      <c r="K270" s="2">
        <v>0</v>
      </c>
      <c r="L270" t="str">
        <f t="shared" si="40"/>
        <v/>
      </c>
      <c r="M270" t="str">
        <f t="shared" si="41"/>
        <v/>
      </c>
      <c r="N270" t="str">
        <f t="shared" si="42"/>
        <v/>
      </c>
      <c r="O270" t="str">
        <f t="shared" si="43"/>
        <v>Q3</v>
      </c>
      <c r="P270" t="str">
        <f t="shared" si="44"/>
        <v/>
      </c>
      <c r="Q270" t="str">
        <f t="shared" si="45"/>
        <v/>
      </c>
      <c r="R270" t="str">
        <f t="shared" si="46"/>
        <v/>
      </c>
      <c r="S270" t="str">
        <f t="shared" si="47"/>
        <v/>
      </c>
      <c r="T270" t="str">
        <f t="shared" si="48"/>
        <v>Q4</v>
      </c>
      <c r="U270" t="str">
        <f t="shared" si="49"/>
        <v/>
      </c>
    </row>
    <row r="271" spans="1:21" x14ac:dyDescent="0.2">
      <c r="A271" t="s">
        <v>327</v>
      </c>
      <c r="B271" s="2">
        <v>0</v>
      </c>
      <c r="C271" s="2">
        <v>0</v>
      </c>
      <c r="D271" s="2">
        <v>0</v>
      </c>
      <c r="E271" s="2">
        <v>4.2016806722688996E-3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t="str">
        <f t="shared" si="40"/>
        <v/>
      </c>
      <c r="M271" t="str">
        <f t="shared" si="41"/>
        <v/>
      </c>
      <c r="N271" t="str">
        <f t="shared" si="42"/>
        <v/>
      </c>
      <c r="O271" t="str">
        <f t="shared" si="43"/>
        <v>Q4</v>
      </c>
      <c r="P271" t="str">
        <f t="shared" si="44"/>
        <v/>
      </c>
      <c r="Q271" t="str">
        <f t="shared" si="45"/>
        <v/>
      </c>
      <c r="R271" t="str">
        <f t="shared" si="46"/>
        <v/>
      </c>
      <c r="S271" t="str">
        <f t="shared" si="47"/>
        <v/>
      </c>
      <c r="T271" t="str">
        <f t="shared" si="48"/>
        <v/>
      </c>
      <c r="U271" t="str">
        <f t="shared" si="49"/>
        <v/>
      </c>
    </row>
    <row r="272" spans="1:21" x14ac:dyDescent="0.2">
      <c r="A272" t="s">
        <v>328</v>
      </c>
      <c r="B272" s="2">
        <v>0</v>
      </c>
      <c r="C272" s="2">
        <v>0</v>
      </c>
      <c r="D272" s="2">
        <v>0</v>
      </c>
      <c r="E272" s="2">
        <v>4.2016806722688996E-3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t="str">
        <f t="shared" si="40"/>
        <v/>
      </c>
      <c r="M272" t="str">
        <f t="shared" si="41"/>
        <v/>
      </c>
      <c r="N272" t="str">
        <f t="shared" si="42"/>
        <v/>
      </c>
      <c r="O272" t="str">
        <f t="shared" si="43"/>
        <v>Q4</v>
      </c>
      <c r="P272" t="str">
        <f t="shared" si="44"/>
        <v/>
      </c>
      <c r="Q272" t="str">
        <f t="shared" si="45"/>
        <v/>
      </c>
      <c r="R272" t="str">
        <f t="shared" si="46"/>
        <v/>
      </c>
      <c r="S272" t="str">
        <f t="shared" si="47"/>
        <v/>
      </c>
      <c r="T272" t="str">
        <f t="shared" si="48"/>
        <v/>
      </c>
      <c r="U272" t="str">
        <f t="shared" si="49"/>
        <v/>
      </c>
    </row>
    <row r="273" spans="1:21" x14ac:dyDescent="0.2">
      <c r="A273" t="s">
        <v>329</v>
      </c>
      <c r="B273" s="2">
        <v>0</v>
      </c>
      <c r="C273" s="2">
        <v>0</v>
      </c>
      <c r="D273" s="2">
        <v>0</v>
      </c>
      <c r="E273" s="2">
        <v>1.6806722689075598E-2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t="str">
        <f t="shared" si="40"/>
        <v/>
      </c>
      <c r="M273" t="str">
        <f t="shared" si="41"/>
        <v/>
      </c>
      <c r="N273" t="str">
        <f t="shared" si="42"/>
        <v/>
      </c>
      <c r="O273" t="str">
        <f t="shared" si="43"/>
        <v>Q2</v>
      </c>
      <c r="P273" t="str">
        <f t="shared" si="44"/>
        <v/>
      </c>
      <c r="Q273" t="str">
        <f t="shared" si="45"/>
        <v/>
      </c>
      <c r="R273" t="str">
        <f t="shared" si="46"/>
        <v/>
      </c>
      <c r="S273" t="str">
        <f t="shared" si="47"/>
        <v/>
      </c>
      <c r="T273" t="str">
        <f t="shared" si="48"/>
        <v/>
      </c>
      <c r="U273" t="str">
        <f t="shared" si="49"/>
        <v/>
      </c>
    </row>
    <row r="274" spans="1:21" x14ac:dyDescent="0.2">
      <c r="A274" t="s">
        <v>330</v>
      </c>
      <c r="B274" s="2">
        <v>0</v>
      </c>
      <c r="C274" s="2">
        <v>0</v>
      </c>
      <c r="D274" s="2">
        <v>0</v>
      </c>
      <c r="E274" s="2">
        <v>8.4033613445378096E-3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t="str">
        <f t="shared" si="40"/>
        <v/>
      </c>
      <c r="M274" t="str">
        <f t="shared" si="41"/>
        <v/>
      </c>
      <c r="N274" t="str">
        <f t="shared" si="42"/>
        <v/>
      </c>
      <c r="O274" t="str">
        <f t="shared" si="43"/>
        <v>Q3</v>
      </c>
      <c r="P274" t="str">
        <f t="shared" si="44"/>
        <v/>
      </c>
      <c r="Q274" t="str">
        <f t="shared" si="45"/>
        <v/>
      </c>
      <c r="R274" t="str">
        <f t="shared" si="46"/>
        <v/>
      </c>
      <c r="S274" t="str">
        <f t="shared" si="47"/>
        <v/>
      </c>
      <c r="T274" t="str">
        <f t="shared" si="48"/>
        <v/>
      </c>
      <c r="U274" t="str">
        <f t="shared" si="49"/>
        <v/>
      </c>
    </row>
    <row r="275" spans="1:21" x14ac:dyDescent="0.2">
      <c r="A275" t="s">
        <v>331</v>
      </c>
      <c r="B275" s="2">
        <v>0</v>
      </c>
      <c r="C275" s="2">
        <v>0</v>
      </c>
      <c r="D275" s="2">
        <v>0</v>
      </c>
      <c r="E275" s="2">
        <v>4.2016806722688996E-3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t="str">
        <f t="shared" si="40"/>
        <v/>
      </c>
      <c r="M275" t="str">
        <f t="shared" si="41"/>
        <v/>
      </c>
      <c r="N275" t="str">
        <f t="shared" si="42"/>
        <v/>
      </c>
      <c r="O275" t="str">
        <f t="shared" si="43"/>
        <v>Q4</v>
      </c>
      <c r="P275" t="str">
        <f t="shared" si="44"/>
        <v/>
      </c>
      <c r="Q275" t="str">
        <f t="shared" si="45"/>
        <v/>
      </c>
      <c r="R275" t="str">
        <f t="shared" si="46"/>
        <v/>
      </c>
      <c r="S275" t="str">
        <f t="shared" si="47"/>
        <v/>
      </c>
      <c r="T275" t="str">
        <f t="shared" si="48"/>
        <v/>
      </c>
      <c r="U275" t="str">
        <f t="shared" si="49"/>
        <v/>
      </c>
    </row>
    <row r="276" spans="1:21" x14ac:dyDescent="0.2">
      <c r="A276" t="s">
        <v>332</v>
      </c>
      <c r="B276" s="2">
        <v>0</v>
      </c>
      <c r="C276" s="2">
        <v>0</v>
      </c>
      <c r="D276" s="2">
        <v>0</v>
      </c>
      <c r="E276" s="2">
        <v>8.4033613445378096E-3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t="str">
        <f t="shared" si="40"/>
        <v/>
      </c>
      <c r="M276" t="str">
        <f t="shared" si="41"/>
        <v/>
      </c>
      <c r="N276" t="str">
        <f t="shared" si="42"/>
        <v/>
      </c>
      <c r="O276" t="str">
        <f t="shared" si="43"/>
        <v>Q3</v>
      </c>
      <c r="P276" t="str">
        <f t="shared" si="44"/>
        <v/>
      </c>
      <c r="Q276" t="str">
        <f t="shared" si="45"/>
        <v/>
      </c>
      <c r="R276" t="str">
        <f t="shared" si="46"/>
        <v/>
      </c>
      <c r="S276" t="str">
        <f t="shared" si="47"/>
        <v/>
      </c>
      <c r="T276" t="str">
        <f t="shared" si="48"/>
        <v/>
      </c>
      <c r="U276" t="str">
        <f t="shared" si="49"/>
        <v/>
      </c>
    </row>
    <row r="277" spans="1:21" x14ac:dyDescent="0.2">
      <c r="A277" t="s">
        <v>333</v>
      </c>
      <c r="B277" s="2">
        <v>0</v>
      </c>
      <c r="C277" s="2">
        <v>0</v>
      </c>
      <c r="D277" s="2">
        <v>0</v>
      </c>
      <c r="E277" s="2">
        <v>2.5210084033613401E-2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t="str">
        <f t="shared" si="40"/>
        <v/>
      </c>
      <c r="M277" t="str">
        <f t="shared" si="41"/>
        <v/>
      </c>
      <c r="N277" t="str">
        <f t="shared" si="42"/>
        <v/>
      </c>
      <c r="O277" t="str">
        <f t="shared" si="43"/>
        <v>Q1</v>
      </c>
      <c r="P277" t="str">
        <f t="shared" si="44"/>
        <v/>
      </c>
      <c r="Q277" t="str">
        <f t="shared" si="45"/>
        <v/>
      </c>
      <c r="R277" t="str">
        <f t="shared" si="46"/>
        <v/>
      </c>
      <c r="S277" t="str">
        <f t="shared" si="47"/>
        <v/>
      </c>
      <c r="T277" t="str">
        <f t="shared" si="48"/>
        <v/>
      </c>
      <c r="U277" t="str">
        <f t="shared" si="49"/>
        <v/>
      </c>
    </row>
    <row r="278" spans="1:21" x14ac:dyDescent="0.2">
      <c r="A278" t="s">
        <v>334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0.22222222222222199</v>
      </c>
      <c r="I278" s="2">
        <v>0</v>
      </c>
      <c r="J278" s="2">
        <v>0</v>
      </c>
      <c r="K278" s="2">
        <v>0</v>
      </c>
      <c r="L278" t="str">
        <f t="shared" si="40"/>
        <v/>
      </c>
      <c r="M278" t="str">
        <f t="shared" si="41"/>
        <v/>
      </c>
      <c r="N278" t="str">
        <f t="shared" si="42"/>
        <v/>
      </c>
      <c r="O278" t="str">
        <f t="shared" si="43"/>
        <v/>
      </c>
      <c r="P278" t="str">
        <f t="shared" si="44"/>
        <v/>
      </c>
      <c r="Q278" t="str">
        <f t="shared" si="45"/>
        <v/>
      </c>
      <c r="R278" t="str">
        <f t="shared" si="46"/>
        <v>Q3</v>
      </c>
      <c r="S278" t="str">
        <f t="shared" si="47"/>
        <v/>
      </c>
      <c r="T278" t="str">
        <f t="shared" si="48"/>
        <v/>
      </c>
      <c r="U278" t="str">
        <f t="shared" si="49"/>
        <v/>
      </c>
    </row>
    <row r="279" spans="1:21" x14ac:dyDescent="0.2">
      <c r="A279" t="s">
        <v>335</v>
      </c>
      <c r="B279" s="2">
        <v>0</v>
      </c>
      <c r="C279" s="2">
        <v>0</v>
      </c>
      <c r="D279" s="2">
        <v>0</v>
      </c>
      <c r="E279" s="2">
        <v>8.4033613445378096E-3</v>
      </c>
      <c r="F279" s="2">
        <v>0</v>
      </c>
      <c r="G279" s="2">
        <v>0</v>
      </c>
      <c r="H279" s="2">
        <v>0</v>
      </c>
      <c r="I279" s="2">
        <v>0</v>
      </c>
      <c r="J279" s="2">
        <v>6.9767441860465101E-2</v>
      </c>
      <c r="K279" s="2">
        <v>0.11764705882352899</v>
      </c>
      <c r="L279" t="str">
        <f t="shared" si="40"/>
        <v/>
      </c>
      <c r="M279" t="str">
        <f t="shared" si="41"/>
        <v/>
      </c>
      <c r="N279" t="str">
        <f t="shared" si="42"/>
        <v/>
      </c>
      <c r="O279" t="str">
        <f t="shared" si="43"/>
        <v>Q3</v>
      </c>
      <c r="P279" t="str">
        <f t="shared" si="44"/>
        <v/>
      </c>
      <c r="Q279" t="str">
        <f t="shared" si="45"/>
        <v/>
      </c>
      <c r="R279" t="str">
        <f t="shared" si="46"/>
        <v/>
      </c>
      <c r="S279" t="str">
        <f t="shared" si="47"/>
        <v/>
      </c>
      <c r="T279" t="str">
        <f t="shared" si="48"/>
        <v>Q2</v>
      </c>
      <c r="U279" t="str">
        <f t="shared" si="49"/>
        <v>Q3</v>
      </c>
    </row>
    <row r="280" spans="1:21" x14ac:dyDescent="0.2">
      <c r="A280" t="s">
        <v>336</v>
      </c>
      <c r="B280" s="2">
        <v>0</v>
      </c>
      <c r="C280" s="2">
        <v>0</v>
      </c>
      <c r="D280" s="2">
        <v>0</v>
      </c>
      <c r="E280" s="2">
        <v>2.5210084033613401E-2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t="str">
        <f t="shared" si="40"/>
        <v/>
      </c>
      <c r="M280" t="str">
        <f t="shared" si="41"/>
        <v/>
      </c>
      <c r="N280" t="str">
        <f t="shared" si="42"/>
        <v/>
      </c>
      <c r="O280" t="str">
        <f t="shared" si="43"/>
        <v>Q1</v>
      </c>
      <c r="P280" t="str">
        <f t="shared" si="44"/>
        <v/>
      </c>
      <c r="Q280" t="str">
        <f t="shared" si="45"/>
        <v/>
      </c>
      <c r="R280" t="str">
        <f t="shared" si="46"/>
        <v/>
      </c>
      <c r="S280" t="str">
        <f t="shared" si="47"/>
        <v/>
      </c>
      <c r="T280" t="str">
        <f t="shared" si="48"/>
        <v/>
      </c>
      <c r="U280" t="str">
        <f t="shared" si="49"/>
        <v/>
      </c>
    </row>
    <row r="281" spans="1:21" x14ac:dyDescent="0.2">
      <c r="A281" t="s">
        <v>337</v>
      </c>
      <c r="B281" s="2">
        <v>0</v>
      </c>
      <c r="C281" s="2">
        <v>0</v>
      </c>
      <c r="D281" s="2">
        <v>0</v>
      </c>
      <c r="E281" s="2">
        <v>1.26050420168067E-2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t="str">
        <f t="shared" si="40"/>
        <v/>
      </c>
      <c r="M281" t="str">
        <f t="shared" si="41"/>
        <v/>
      </c>
      <c r="N281" t="str">
        <f t="shared" si="42"/>
        <v/>
      </c>
      <c r="O281" t="str">
        <f t="shared" si="43"/>
        <v>Q2</v>
      </c>
      <c r="P281" t="str">
        <f t="shared" si="44"/>
        <v/>
      </c>
      <c r="Q281" t="str">
        <f t="shared" si="45"/>
        <v/>
      </c>
      <c r="R281" t="str">
        <f t="shared" si="46"/>
        <v/>
      </c>
      <c r="S281" t="str">
        <f t="shared" si="47"/>
        <v/>
      </c>
      <c r="T281" t="str">
        <f t="shared" si="48"/>
        <v/>
      </c>
      <c r="U281" t="str">
        <f t="shared" si="49"/>
        <v/>
      </c>
    </row>
    <row r="282" spans="1:21" x14ac:dyDescent="0.2">
      <c r="A282" t="s">
        <v>338</v>
      </c>
      <c r="B282" s="2">
        <v>0</v>
      </c>
      <c r="C282" s="2">
        <v>0</v>
      </c>
      <c r="D282" s="2">
        <v>0</v>
      </c>
      <c r="E282" s="2">
        <v>4.2016806722688996E-3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t="str">
        <f t="shared" si="40"/>
        <v/>
      </c>
      <c r="M282" t="str">
        <f t="shared" si="41"/>
        <v/>
      </c>
      <c r="N282" t="str">
        <f t="shared" si="42"/>
        <v/>
      </c>
      <c r="O282" t="str">
        <f t="shared" si="43"/>
        <v>Q4</v>
      </c>
      <c r="P282" t="str">
        <f t="shared" si="44"/>
        <v/>
      </c>
      <c r="Q282" t="str">
        <f t="shared" si="45"/>
        <v/>
      </c>
      <c r="R282" t="str">
        <f t="shared" si="46"/>
        <v/>
      </c>
      <c r="S282" t="str">
        <f t="shared" si="47"/>
        <v/>
      </c>
      <c r="T282" t="str">
        <f t="shared" si="48"/>
        <v/>
      </c>
      <c r="U282" t="str">
        <f t="shared" si="49"/>
        <v/>
      </c>
    </row>
    <row r="283" spans="1:21" x14ac:dyDescent="0.2">
      <c r="A283" s="8" t="s">
        <v>339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0.22222222222222199</v>
      </c>
      <c r="I283" s="2">
        <v>0</v>
      </c>
      <c r="J283" s="2">
        <v>0</v>
      </c>
      <c r="K283" s="2">
        <v>0</v>
      </c>
      <c r="L283" t="str">
        <f t="shared" si="40"/>
        <v/>
      </c>
      <c r="M283" t="str">
        <f t="shared" si="41"/>
        <v/>
      </c>
      <c r="N283" t="str">
        <f t="shared" si="42"/>
        <v/>
      </c>
      <c r="O283" t="str">
        <f t="shared" si="43"/>
        <v/>
      </c>
      <c r="P283" t="str">
        <f t="shared" si="44"/>
        <v/>
      </c>
      <c r="Q283" t="str">
        <f t="shared" si="45"/>
        <v/>
      </c>
      <c r="R283" t="str">
        <f t="shared" si="46"/>
        <v>Q3</v>
      </c>
      <c r="S283" t="str">
        <f t="shared" si="47"/>
        <v/>
      </c>
      <c r="T283" t="str">
        <f t="shared" si="48"/>
        <v/>
      </c>
      <c r="U283" t="str">
        <f t="shared" si="49"/>
        <v/>
      </c>
    </row>
    <row r="284" spans="1:21" x14ac:dyDescent="0.2">
      <c r="A284" t="s">
        <v>340</v>
      </c>
      <c r="B284" s="2">
        <v>0</v>
      </c>
      <c r="C284" s="2">
        <v>0</v>
      </c>
      <c r="D284" s="2">
        <v>0</v>
      </c>
      <c r="E284" s="2">
        <v>4.2016806722688996E-3</v>
      </c>
      <c r="F284" s="2">
        <v>0</v>
      </c>
      <c r="G284" s="2">
        <v>0</v>
      </c>
      <c r="H284" s="2">
        <v>0</v>
      </c>
      <c r="I284" s="2">
        <v>0</v>
      </c>
      <c r="J284" s="2">
        <v>6.9767441860465101E-2</v>
      </c>
      <c r="K284" s="2">
        <v>0</v>
      </c>
      <c r="L284" t="str">
        <f t="shared" si="40"/>
        <v/>
      </c>
      <c r="M284" t="str">
        <f t="shared" si="41"/>
        <v/>
      </c>
      <c r="N284" t="str">
        <f t="shared" si="42"/>
        <v/>
      </c>
      <c r="O284" t="str">
        <f t="shared" si="43"/>
        <v>Q4</v>
      </c>
      <c r="P284" t="str">
        <f t="shared" si="44"/>
        <v/>
      </c>
      <c r="Q284" t="str">
        <f t="shared" si="45"/>
        <v/>
      </c>
      <c r="R284" t="str">
        <f t="shared" si="46"/>
        <v/>
      </c>
      <c r="S284" t="str">
        <f t="shared" si="47"/>
        <v/>
      </c>
      <c r="T284" t="str">
        <f t="shared" si="48"/>
        <v>Q2</v>
      </c>
      <c r="U284" t="str">
        <f t="shared" si="49"/>
        <v/>
      </c>
    </row>
    <row r="285" spans="1:21" x14ac:dyDescent="0.2">
      <c r="A285" s="8" t="s">
        <v>341</v>
      </c>
      <c r="B285" s="2">
        <v>0</v>
      </c>
      <c r="C285" s="2">
        <v>0</v>
      </c>
      <c r="D285" s="2">
        <v>0</v>
      </c>
      <c r="E285" s="2">
        <v>1.26050420168067E-2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t="str">
        <f t="shared" si="40"/>
        <v/>
      </c>
      <c r="M285" t="str">
        <f t="shared" si="41"/>
        <v/>
      </c>
      <c r="N285" t="str">
        <f t="shared" si="42"/>
        <v/>
      </c>
      <c r="O285" t="str">
        <f t="shared" si="43"/>
        <v>Q2</v>
      </c>
      <c r="P285" t="str">
        <f t="shared" si="44"/>
        <v/>
      </c>
      <c r="Q285" t="str">
        <f t="shared" si="45"/>
        <v/>
      </c>
      <c r="R285" t="str">
        <f t="shared" si="46"/>
        <v/>
      </c>
      <c r="S285" t="str">
        <f t="shared" si="47"/>
        <v/>
      </c>
      <c r="T285" t="str">
        <f t="shared" si="48"/>
        <v/>
      </c>
      <c r="U285" t="str">
        <f t="shared" si="49"/>
        <v/>
      </c>
    </row>
    <row r="286" spans="1:21" x14ac:dyDescent="0.2">
      <c r="A286" t="s">
        <v>342</v>
      </c>
      <c r="B286" s="2">
        <v>0</v>
      </c>
      <c r="C286" s="2">
        <v>0.3</v>
      </c>
      <c r="D286" s="2">
        <v>0</v>
      </c>
      <c r="E286" s="2">
        <v>4.2016806722688996E-3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t="str">
        <f t="shared" si="40"/>
        <v/>
      </c>
      <c r="M286" t="str">
        <f t="shared" si="41"/>
        <v>Q2</v>
      </c>
      <c r="N286" t="str">
        <f t="shared" si="42"/>
        <v/>
      </c>
      <c r="O286" t="str">
        <f t="shared" si="43"/>
        <v>Q4</v>
      </c>
      <c r="P286" t="str">
        <f t="shared" si="44"/>
        <v/>
      </c>
      <c r="Q286" t="str">
        <f t="shared" si="45"/>
        <v/>
      </c>
      <c r="R286" t="str">
        <f t="shared" si="46"/>
        <v/>
      </c>
      <c r="S286" t="str">
        <f t="shared" si="47"/>
        <v/>
      </c>
      <c r="T286" t="str">
        <f t="shared" si="48"/>
        <v/>
      </c>
      <c r="U286" t="str">
        <f t="shared" si="49"/>
        <v/>
      </c>
    </row>
    <row r="287" spans="1:21" x14ac:dyDescent="0.2">
      <c r="A287" t="s">
        <v>343</v>
      </c>
      <c r="B287" s="2">
        <v>0</v>
      </c>
      <c r="C287" s="2">
        <v>0</v>
      </c>
      <c r="D287" s="2">
        <v>0</v>
      </c>
      <c r="E287" s="2">
        <v>0</v>
      </c>
      <c r="F287" s="2">
        <v>7.69230769230769E-2</v>
      </c>
      <c r="G287" s="2">
        <v>0</v>
      </c>
      <c r="H287" s="2">
        <v>0</v>
      </c>
      <c r="I287" s="2">
        <v>0</v>
      </c>
      <c r="J287" s="2">
        <v>2.3255813953488299E-2</v>
      </c>
      <c r="K287" s="2">
        <v>0</v>
      </c>
      <c r="L287" t="str">
        <f t="shared" si="40"/>
        <v/>
      </c>
      <c r="M287" t="str">
        <f t="shared" si="41"/>
        <v/>
      </c>
      <c r="N287" t="str">
        <f t="shared" si="42"/>
        <v/>
      </c>
      <c r="O287" t="str">
        <f t="shared" si="43"/>
        <v/>
      </c>
      <c r="P287" t="str">
        <f t="shared" si="44"/>
        <v>Q2</v>
      </c>
      <c r="Q287" t="str">
        <f t="shared" si="45"/>
        <v/>
      </c>
      <c r="R287" t="str">
        <f t="shared" si="46"/>
        <v/>
      </c>
      <c r="S287" t="str">
        <f t="shared" si="47"/>
        <v/>
      </c>
      <c r="T287" t="str">
        <f t="shared" si="48"/>
        <v>Q4</v>
      </c>
      <c r="U287" t="str">
        <f t="shared" si="49"/>
        <v/>
      </c>
    </row>
    <row r="288" spans="1:21" x14ac:dyDescent="0.2">
      <c r="A288" t="s">
        <v>344</v>
      </c>
      <c r="B288" s="2">
        <v>0</v>
      </c>
      <c r="C288" s="2">
        <v>0</v>
      </c>
      <c r="D288" s="2">
        <v>0</v>
      </c>
      <c r="E288" s="2">
        <v>2.5210084033613401E-2</v>
      </c>
      <c r="F288" s="2">
        <v>0.115384615384615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t="str">
        <f t="shared" si="40"/>
        <v/>
      </c>
      <c r="M288" t="str">
        <f t="shared" si="41"/>
        <v/>
      </c>
      <c r="N288" t="str">
        <f t="shared" si="42"/>
        <v/>
      </c>
      <c r="O288" t="str">
        <f t="shared" si="43"/>
        <v>Q1</v>
      </c>
      <c r="P288" t="str">
        <f t="shared" si="44"/>
        <v>Q2</v>
      </c>
      <c r="Q288" t="str">
        <f t="shared" si="45"/>
        <v/>
      </c>
      <c r="R288" t="str">
        <f t="shared" si="46"/>
        <v/>
      </c>
      <c r="S288" t="str">
        <f t="shared" si="47"/>
        <v/>
      </c>
      <c r="T288" t="str">
        <f t="shared" si="48"/>
        <v/>
      </c>
      <c r="U288" t="str">
        <f t="shared" si="49"/>
        <v/>
      </c>
    </row>
    <row r="289" spans="1:21" x14ac:dyDescent="0.2">
      <c r="A289" t="s">
        <v>345</v>
      </c>
      <c r="B289" s="2">
        <v>0</v>
      </c>
      <c r="C289" s="2">
        <v>0</v>
      </c>
      <c r="D289" s="2">
        <v>0</v>
      </c>
      <c r="E289" s="2">
        <v>1.6806722689075598E-2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t="str">
        <f t="shared" si="40"/>
        <v/>
      </c>
      <c r="M289" t="str">
        <f t="shared" si="41"/>
        <v/>
      </c>
      <c r="N289" t="str">
        <f t="shared" si="42"/>
        <v/>
      </c>
      <c r="O289" t="str">
        <f t="shared" si="43"/>
        <v>Q2</v>
      </c>
      <c r="P289" t="str">
        <f t="shared" si="44"/>
        <v/>
      </c>
      <c r="Q289" t="str">
        <f t="shared" si="45"/>
        <v/>
      </c>
      <c r="R289" t="str">
        <f t="shared" si="46"/>
        <v/>
      </c>
      <c r="S289" t="str">
        <f t="shared" si="47"/>
        <v/>
      </c>
      <c r="T289" t="str">
        <f t="shared" si="48"/>
        <v/>
      </c>
      <c r="U289" t="str">
        <f t="shared" si="49"/>
        <v/>
      </c>
    </row>
    <row r="290" spans="1:21" x14ac:dyDescent="0.2">
      <c r="A290" t="s">
        <v>346</v>
      </c>
      <c r="B290" s="2">
        <v>0</v>
      </c>
      <c r="C290" s="2">
        <v>0</v>
      </c>
      <c r="D290" s="2">
        <v>0</v>
      </c>
      <c r="E290" s="2">
        <v>8.4033613445378096E-3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t="str">
        <f t="shared" si="40"/>
        <v/>
      </c>
      <c r="M290" t="str">
        <f t="shared" si="41"/>
        <v/>
      </c>
      <c r="N290" t="str">
        <f t="shared" si="42"/>
        <v/>
      </c>
      <c r="O290" t="str">
        <f t="shared" si="43"/>
        <v>Q3</v>
      </c>
      <c r="P290" t="str">
        <f t="shared" si="44"/>
        <v/>
      </c>
      <c r="Q290" t="str">
        <f t="shared" si="45"/>
        <v/>
      </c>
      <c r="R290" t="str">
        <f t="shared" si="46"/>
        <v/>
      </c>
      <c r="S290" t="str">
        <f t="shared" si="47"/>
        <v/>
      </c>
      <c r="T290" t="str">
        <f t="shared" si="48"/>
        <v/>
      </c>
      <c r="U290" t="str">
        <f t="shared" si="49"/>
        <v/>
      </c>
    </row>
    <row r="291" spans="1:21" x14ac:dyDescent="0.2">
      <c r="A291" s="8" t="s">
        <v>347</v>
      </c>
      <c r="B291" s="2">
        <v>1.2</v>
      </c>
      <c r="C291" s="2">
        <v>0.3</v>
      </c>
      <c r="D291" s="2">
        <v>0</v>
      </c>
      <c r="E291" s="2">
        <v>0.24369747899159599</v>
      </c>
      <c r="F291" s="2">
        <v>0.15384615384615299</v>
      </c>
      <c r="G291" s="2">
        <v>0</v>
      </c>
      <c r="H291" s="2">
        <v>0.88888888888888795</v>
      </c>
      <c r="I291" s="2">
        <v>0</v>
      </c>
      <c r="J291" s="2">
        <v>0.16279069767441801</v>
      </c>
      <c r="K291" s="2">
        <v>0</v>
      </c>
      <c r="L291" t="str">
        <f t="shared" si="40"/>
        <v>Q1</v>
      </c>
      <c r="M291" t="str">
        <f t="shared" si="41"/>
        <v>Q2</v>
      </c>
      <c r="N291" t="str">
        <f t="shared" si="42"/>
        <v/>
      </c>
      <c r="O291" t="str">
        <f t="shared" si="43"/>
        <v>Q1</v>
      </c>
      <c r="P291" t="str">
        <f t="shared" si="44"/>
        <v>Q1</v>
      </c>
      <c r="Q291" t="str">
        <f t="shared" si="45"/>
        <v/>
      </c>
      <c r="R291" t="str">
        <f t="shared" si="46"/>
        <v>Q1</v>
      </c>
      <c r="S291" t="str">
        <f t="shared" si="47"/>
        <v/>
      </c>
      <c r="T291" t="str">
        <f t="shared" si="48"/>
        <v>Q1</v>
      </c>
      <c r="U291" t="str">
        <f t="shared" si="49"/>
        <v/>
      </c>
    </row>
    <row r="292" spans="1:21" x14ac:dyDescent="0.2">
      <c r="A292" t="s">
        <v>348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0.22222222222222199</v>
      </c>
      <c r="I292" s="2">
        <v>0</v>
      </c>
      <c r="J292" s="2">
        <v>0</v>
      </c>
      <c r="K292" s="2">
        <v>0</v>
      </c>
      <c r="L292" t="str">
        <f t="shared" si="40"/>
        <v/>
      </c>
      <c r="M292" t="str">
        <f t="shared" si="41"/>
        <v/>
      </c>
      <c r="N292" t="str">
        <f t="shared" si="42"/>
        <v/>
      </c>
      <c r="O292" t="str">
        <f t="shared" si="43"/>
        <v/>
      </c>
      <c r="P292" t="str">
        <f t="shared" si="44"/>
        <v/>
      </c>
      <c r="Q292" t="str">
        <f t="shared" si="45"/>
        <v/>
      </c>
      <c r="R292" t="str">
        <f t="shared" si="46"/>
        <v>Q3</v>
      </c>
      <c r="S292" t="str">
        <f t="shared" si="47"/>
        <v/>
      </c>
      <c r="T292" t="str">
        <f t="shared" si="48"/>
        <v/>
      </c>
      <c r="U292" t="str">
        <f t="shared" si="49"/>
        <v/>
      </c>
    </row>
    <row r="293" spans="1:21" x14ac:dyDescent="0.2">
      <c r="A293" s="8" t="s">
        <v>349</v>
      </c>
      <c r="B293" s="2">
        <v>0</v>
      </c>
      <c r="C293" s="2">
        <v>0</v>
      </c>
      <c r="D293" s="2">
        <v>0</v>
      </c>
      <c r="E293" s="2">
        <v>4.2016806722689003E-2</v>
      </c>
      <c r="F293" s="2">
        <v>0</v>
      </c>
      <c r="G293" s="2">
        <v>0</v>
      </c>
      <c r="H293" s="2">
        <v>0</v>
      </c>
      <c r="I293" s="2">
        <v>0</v>
      </c>
      <c r="J293" s="2">
        <v>2.3255813953488299E-2</v>
      </c>
      <c r="K293" s="2">
        <v>0</v>
      </c>
      <c r="L293" t="str">
        <f t="shared" si="40"/>
        <v/>
      </c>
      <c r="M293" t="str">
        <f t="shared" si="41"/>
        <v/>
      </c>
      <c r="N293" t="str">
        <f t="shared" si="42"/>
        <v/>
      </c>
      <c r="O293" t="str">
        <f t="shared" si="43"/>
        <v>Q1</v>
      </c>
      <c r="P293" t="str">
        <f t="shared" si="44"/>
        <v/>
      </c>
      <c r="Q293" t="str">
        <f t="shared" si="45"/>
        <v/>
      </c>
      <c r="R293" t="str">
        <f t="shared" si="46"/>
        <v/>
      </c>
      <c r="S293" t="str">
        <f t="shared" si="47"/>
        <v/>
      </c>
      <c r="T293" t="str">
        <f t="shared" si="48"/>
        <v>Q4</v>
      </c>
      <c r="U293" t="str">
        <f t="shared" si="49"/>
        <v/>
      </c>
    </row>
    <row r="294" spans="1:21" x14ac:dyDescent="0.2">
      <c r="A294" t="s">
        <v>350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</v>
      </c>
      <c r="I294" s="2">
        <v>0</v>
      </c>
      <c r="J294" s="2">
        <v>6.9767441860465101E-2</v>
      </c>
      <c r="K294" s="2">
        <v>0</v>
      </c>
      <c r="L294" t="str">
        <f t="shared" si="40"/>
        <v/>
      </c>
      <c r="M294" t="str">
        <f t="shared" si="41"/>
        <v/>
      </c>
      <c r="N294" t="str">
        <f t="shared" si="42"/>
        <v/>
      </c>
      <c r="O294" t="str">
        <f t="shared" si="43"/>
        <v/>
      </c>
      <c r="P294" t="str">
        <f t="shared" si="44"/>
        <v/>
      </c>
      <c r="Q294" t="str">
        <f t="shared" si="45"/>
        <v/>
      </c>
      <c r="R294" t="str">
        <f t="shared" si="46"/>
        <v>Q1</v>
      </c>
      <c r="S294" t="str">
        <f t="shared" si="47"/>
        <v/>
      </c>
      <c r="T294" t="str">
        <f t="shared" si="48"/>
        <v>Q2</v>
      </c>
      <c r="U294" t="str">
        <f t="shared" si="49"/>
        <v/>
      </c>
    </row>
    <row r="295" spans="1:21" x14ac:dyDescent="0.2">
      <c r="A295" t="s">
        <v>351</v>
      </c>
      <c r="B295" s="2">
        <v>0</v>
      </c>
      <c r="C295" s="2">
        <v>0</v>
      </c>
      <c r="D295" s="2">
        <v>0</v>
      </c>
      <c r="E295" s="2">
        <v>4.2016806722688996E-3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t="str">
        <f t="shared" si="40"/>
        <v/>
      </c>
      <c r="M295" t="str">
        <f t="shared" si="41"/>
        <v/>
      </c>
      <c r="N295" t="str">
        <f t="shared" si="42"/>
        <v/>
      </c>
      <c r="O295" t="str">
        <f t="shared" si="43"/>
        <v>Q4</v>
      </c>
      <c r="P295" t="str">
        <f t="shared" si="44"/>
        <v/>
      </c>
      <c r="Q295" t="str">
        <f t="shared" si="45"/>
        <v/>
      </c>
      <c r="R295" t="str">
        <f t="shared" si="46"/>
        <v/>
      </c>
      <c r="S295" t="str">
        <f t="shared" si="47"/>
        <v/>
      </c>
      <c r="T295" t="str">
        <f t="shared" si="48"/>
        <v/>
      </c>
      <c r="U295" t="str">
        <f t="shared" si="49"/>
        <v/>
      </c>
    </row>
    <row r="296" spans="1:21" x14ac:dyDescent="0.2">
      <c r="A296" t="s">
        <v>352</v>
      </c>
      <c r="B296" s="2">
        <v>0</v>
      </c>
      <c r="C296" s="2">
        <v>0</v>
      </c>
      <c r="D296" s="2">
        <v>0</v>
      </c>
      <c r="E296" s="2">
        <v>2.1008403361344501E-2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t="str">
        <f t="shared" si="40"/>
        <v/>
      </c>
      <c r="M296" t="str">
        <f t="shared" si="41"/>
        <v/>
      </c>
      <c r="N296" t="str">
        <f t="shared" si="42"/>
        <v/>
      </c>
      <c r="O296" t="str">
        <f t="shared" si="43"/>
        <v>Q2</v>
      </c>
      <c r="P296" t="str">
        <f t="shared" si="44"/>
        <v/>
      </c>
      <c r="Q296" t="str">
        <f t="shared" si="45"/>
        <v/>
      </c>
      <c r="R296" t="str">
        <f t="shared" si="46"/>
        <v/>
      </c>
      <c r="S296" t="str">
        <f t="shared" si="47"/>
        <v/>
      </c>
      <c r="T296" t="str">
        <f t="shared" si="48"/>
        <v/>
      </c>
      <c r="U296" t="str">
        <f t="shared" si="49"/>
        <v/>
      </c>
    </row>
    <row r="297" spans="1:21" x14ac:dyDescent="0.2">
      <c r="A297" s="8" t="s">
        <v>353</v>
      </c>
      <c r="B297" s="2">
        <v>0</v>
      </c>
      <c r="C297" s="2">
        <v>0</v>
      </c>
      <c r="D297" s="2">
        <v>0</v>
      </c>
      <c r="E297" s="2">
        <v>4.2016806722688996E-3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t="str">
        <f t="shared" si="40"/>
        <v/>
      </c>
      <c r="M297" t="str">
        <f t="shared" si="41"/>
        <v/>
      </c>
      <c r="N297" t="str">
        <f t="shared" si="42"/>
        <v/>
      </c>
      <c r="O297" t="str">
        <f t="shared" si="43"/>
        <v>Q4</v>
      </c>
      <c r="P297" t="str">
        <f t="shared" si="44"/>
        <v/>
      </c>
      <c r="Q297" t="str">
        <f t="shared" si="45"/>
        <v/>
      </c>
      <c r="R297" t="str">
        <f t="shared" si="46"/>
        <v/>
      </c>
      <c r="S297" t="str">
        <f t="shared" si="47"/>
        <v/>
      </c>
      <c r="T297" t="str">
        <f t="shared" si="48"/>
        <v/>
      </c>
      <c r="U297" t="str">
        <f t="shared" si="49"/>
        <v/>
      </c>
    </row>
    <row r="298" spans="1:21" x14ac:dyDescent="0.2">
      <c r="A298" s="8" t="s">
        <v>354</v>
      </c>
      <c r="B298" s="2">
        <v>0</v>
      </c>
      <c r="C298" s="2">
        <v>0</v>
      </c>
      <c r="D298" s="2">
        <v>0</v>
      </c>
      <c r="E298" s="2">
        <v>4.2016806722688996E-3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t="str">
        <f t="shared" si="40"/>
        <v/>
      </c>
      <c r="M298" t="str">
        <f t="shared" si="41"/>
        <v/>
      </c>
      <c r="N298" t="str">
        <f t="shared" si="42"/>
        <v/>
      </c>
      <c r="O298" t="str">
        <f t="shared" si="43"/>
        <v>Q4</v>
      </c>
      <c r="P298" t="str">
        <f t="shared" si="44"/>
        <v/>
      </c>
      <c r="Q298" t="str">
        <f t="shared" si="45"/>
        <v/>
      </c>
      <c r="R298" t="str">
        <f t="shared" si="46"/>
        <v/>
      </c>
      <c r="S298" t="str">
        <f t="shared" si="47"/>
        <v/>
      </c>
      <c r="T298" t="str">
        <f t="shared" si="48"/>
        <v/>
      </c>
      <c r="U298" t="str">
        <f t="shared" si="49"/>
        <v/>
      </c>
    </row>
    <row r="299" spans="1:21" x14ac:dyDescent="0.2">
      <c r="A299" t="s">
        <v>355</v>
      </c>
      <c r="B299" s="2">
        <v>0</v>
      </c>
      <c r="C299" s="2">
        <v>0</v>
      </c>
      <c r="D299" s="2">
        <v>0</v>
      </c>
      <c r="E299" s="2">
        <v>2.1008403361344501E-2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t="str">
        <f t="shared" si="40"/>
        <v/>
      </c>
      <c r="M299" t="str">
        <f t="shared" si="41"/>
        <v/>
      </c>
      <c r="N299" t="str">
        <f t="shared" si="42"/>
        <v/>
      </c>
      <c r="O299" t="str">
        <f t="shared" si="43"/>
        <v>Q2</v>
      </c>
      <c r="P299" t="str">
        <f t="shared" si="44"/>
        <v/>
      </c>
      <c r="Q299" t="str">
        <f t="shared" si="45"/>
        <v/>
      </c>
      <c r="R299" t="str">
        <f t="shared" si="46"/>
        <v/>
      </c>
      <c r="S299" t="str">
        <f t="shared" si="47"/>
        <v/>
      </c>
      <c r="T299" t="str">
        <f t="shared" si="48"/>
        <v/>
      </c>
      <c r="U299" t="str">
        <f t="shared" si="49"/>
        <v/>
      </c>
    </row>
    <row r="300" spans="1:21" x14ac:dyDescent="0.2">
      <c r="A300" t="s">
        <v>356</v>
      </c>
      <c r="B300" s="2">
        <v>0</v>
      </c>
      <c r="C300" s="2">
        <v>0</v>
      </c>
      <c r="D300" s="2">
        <v>0</v>
      </c>
      <c r="E300" s="2">
        <v>8.4033613445378096E-3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t="str">
        <f t="shared" si="40"/>
        <v/>
      </c>
      <c r="M300" t="str">
        <f t="shared" si="41"/>
        <v/>
      </c>
      <c r="N300" t="str">
        <f t="shared" si="42"/>
        <v/>
      </c>
      <c r="O300" t="str">
        <f t="shared" si="43"/>
        <v>Q3</v>
      </c>
      <c r="P300" t="str">
        <f t="shared" si="44"/>
        <v/>
      </c>
      <c r="Q300" t="str">
        <f t="shared" si="45"/>
        <v/>
      </c>
      <c r="R300" t="str">
        <f t="shared" si="46"/>
        <v/>
      </c>
      <c r="S300" t="str">
        <f t="shared" si="47"/>
        <v/>
      </c>
      <c r="T300" t="str">
        <f t="shared" si="48"/>
        <v/>
      </c>
      <c r="U300" t="str">
        <f t="shared" si="49"/>
        <v/>
      </c>
    </row>
    <row r="301" spans="1:21" x14ac:dyDescent="0.2">
      <c r="A301" s="4" t="s">
        <v>914</v>
      </c>
      <c r="B301" s="5">
        <f>AVERAGE(B2:B300)</f>
        <v>2.6755852842809361E-2</v>
      </c>
      <c r="C301" s="5">
        <f t="shared" ref="C301:K301" si="50">AVERAGE(C2:C300)</f>
        <v>2.5752508361204015E-2</v>
      </c>
      <c r="D301" s="5">
        <f t="shared" si="50"/>
        <v>1.7677974199713301E-2</v>
      </c>
      <c r="E301" s="5">
        <f t="shared" si="50"/>
        <v>2.0277676287906412E-2</v>
      </c>
      <c r="F301" s="5">
        <f t="shared" si="50"/>
        <v>1.8780550553125767E-2</v>
      </c>
      <c r="G301" s="5">
        <f t="shared" si="50"/>
        <v>1.0033444816053512E-2</v>
      </c>
      <c r="H301" s="5">
        <f t="shared" si="50"/>
        <v>2.8242289111854311E-2</v>
      </c>
      <c r="I301" s="5">
        <f t="shared" si="50"/>
        <v>3.3444816053511705E-3</v>
      </c>
      <c r="J301" s="5">
        <f t="shared" si="50"/>
        <v>1.8744652718363508E-2</v>
      </c>
      <c r="K301" s="5">
        <f t="shared" si="50"/>
        <v>1.4755065905961018E-2</v>
      </c>
    </row>
    <row r="302" spans="1:21" x14ac:dyDescent="0.2">
      <c r="A302" s="4" t="s">
        <v>915</v>
      </c>
      <c r="B302" s="5">
        <f>STDEV(B2:B300)</f>
        <v>0.148662416291552</v>
      </c>
      <c r="C302" s="5">
        <f t="shared" ref="C302:K302" si="51">STDEV(C2:C300)</f>
        <v>0.11250213548485848</v>
      </c>
      <c r="D302" s="5">
        <f t="shared" si="51"/>
        <v>7.888495327426541E-2</v>
      </c>
      <c r="E302" s="5">
        <f t="shared" si="51"/>
        <v>5.7695294482472015E-2</v>
      </c>
      <c r="F302" s="5">
        <f t="shared" si="51"/>
        <v>6.0801155087477299E-2</v>
      </c>
      <c r="G302" s="5">
        <f t="shared" si="51"/>
        <v>9.9830387459135264E-2</v>
      </c>
      <c r="H302" s="5">
        <f t="shared" si="51"/>
        <v>0.13264211120432257</v>
      </c>
      <c r="I302" s="5">
        <f t="shared" si="51"/>
        <v>5.783149319662402E-2</v>
      </c>
      <c r="J302" s="5">
        <f t="shared" si="51"/>
        <v>6.739568237480148E-2</v>
      </c>
      <c r="K302" s="5">
        <f t="shared" si="51"/>
        <v>9.2957422044249644E-2</v>
      </c>
    </row>
    <row r="303" spans="1:21" x14ac:dyDescent="0.2">
      <c r="A303" s="7" t="s">
        <v>914</v>
      </c>
      <c r="B303" s="6">
        <f>AVERAGEIF(B2:B300, "&lt;&gt;0")</f>
        <v>0.72727272727272718</v>
      </c>
      <c r="C303" s="6">
        <f t="shared" ref="C303:K303" si="52">AVERAGEIF(C2:C300, "&lt;&gt;0")</f>
        <v>0.40526315789473683</v>
      </c>
      <c r="D303" s="6">
        <f t="shared" si="52"/>
        <v>0.22023809523809487</v>
      </c>
      <c r="E303" s="6">
        <f t="shared" si="52"/>
        <v>2.6360979174278338E-2</v>
      </c>
      <c r="F303" s="6">
        <f t="shared" si="52"/>
        <v>0.12762237762237738</v>
      </c>
      <c r="G303" s="6">
        <f t="shared" si="52"/>
        <v>1</v>
      </c>
      <c r="H303" s="6">
        <f t="shared" si="52"/>
        <v>0.42222222222222194</v>
      </c>
      <c r="I303" s="6">
        <f t="shared" si="52"/>
        <v>1</v>
      </c>
      <c r="J303" s="6">
        <f t="shared" si="52"/>
        <v>0.1218402426693628</v>
      </c>
      <c r="K303" s="6">
        <f t="shared" si="52"/>
        <v>0.29411764705882298</v>
      </c>
    </row>
    <row r="304" spans="1:21" x14ac:dyDescent="0.2">
      <c r="A304" s="7" t="s">
        <v>915</v>
      </c>
      <c r="B304" s="6" cm="1">
        <f t="array" ref="B304">_xlfn.STDEV.P(IF(B2:B300&lt;&gt;0, B2:B300))</f>
        <v>0.29875775863918186</v>
      </c>
      <c r="C304" s="6" cm="1">
        <f t="array" ref="C304">_xlfn.STDEV.P(IF(C2:C300&lt;&gt;0, C2:C300))</f>
        <v>0.21144536238527009</v>
      </c>
      <c r="D304" s="6" cm="1">
        <f t="array" ref="D304">_xlfn.STDEV.P(IF(D2:D300&lt;&gt;0, D2:D300))</f>
        <v>0.18070811625497971</v>
      </c>
      <c r="E304" s="6" cm="1">
        <f t="array" ref="E304">_xlfn.STDEV.P(IF(E2:E300&lt;&gt;0, E2:E300))</f>
        <v>6.4440177477094185E-2</v>
      </c>
      <c r="F304" s="6" cm="1">
        <f t="array" ref="F304">_xlfn.STDEV.P(IF(F2:F300&lt;&gt;0, F2:F300))</f>
        <v>0.10557761641177782</v>
      </c>
      <c r="G304" s="6" cm="1">
        <f t="array" ref="G304">_xlfn.STDEV.P(IF(G2:G300&lt;&gt;0, G2:G300))</f>
        <v>0</v>
      </c>
      <c r="H304" s="6" cm="1">
        <f t="array" ref="H304">_xlfn.STDEV.P(IF(H2:H300&lt;&gt;0, H2:H300))</f>
        <v>0.30951973949298012</v>
      </c>
      <c r="I304" s="6" cm="1">
        <f t="array" ref="I304">_xlfn.STDEV.P(IF(I2:I300&lt;&gt;0, I2:I300))</f>
        <v>0</v>
      </c>
      <c r="J304" s="6" cm="1">
        <f t="array" ref="J304">_xlfn.STDEV.P(IF(J2:J300&lt;&gt;0, J2:J300))</f>
        <v>0.12986232063282385</v>
      </c>
      <c r="K304" s="6" cm="1">
        <f t="array" ref="K304">_xlfn.STDEV.P(IF(K2:K300&lt;&gt;0, K2:K300))</f>
        <v>0.29917225290604854</v>
      </c>
    </row>
    <row r="305" spans="1:1" x14ac:dyDescent="0.2">
      <c r="A305" s="4" t="s">
        <v>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8349-0B11-DF4F-BCFF-7C07C4A56CDE}">
  <dimension ref="A1:U274"/>
  <sheetViews>
    <sheetView tabSelected="1" workbookViewId="0">
      <selection activeCell="A2" sqref="A2:A269"/>
    </sheetView>
  </sheetViews>
  <sheetFormatPr baseColWidth="10" defaultRowHeight="16" x14ac:dyDescent="0.2"/>
  <cols>
    <col min="1" max="1" width="43.6640625" bestFit="1" customWidth="1"/>
    <col min="2" max="2" width="6.33203125" style="2" bestFit="1" customWidth="1"/>
    <col min="3" max="6" width="5.6640625" style="2" bestFit="1" customWidth="1"/>
    <col min="7" max="7" width="6.83203125" style="2" bestFit="1" customWidth="1"/>
    <col min="8" max="9" width="5.6640625" style="2" bestFit="1" customWidth="1"/>
    <col min="10" max="10" width="7.83203125" style="2" bestFit="1" customWidth="1"/>
    <col min="11" max="11" width="5.6640625" style="2" bestFit="1" customWidth="1"/>
  </cols>
  <sheetData>
    <row r="1" spans="1:21" x14ac:dyDescent="0.2"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t="s">
        <v>904</v>
      </c>
      <c r="M1" t="s">
        <v>905</v>
      </c>
      <c r="N1" t="s">
        <v>906</v>
      </c>
      <c r="O1" t="s">
        <v>907</v>
      </c>
      <c r="P1" t="s">
        <v>908</v>
      </c>
      <c r="Q1" t="s">
        <v>909</v>
      </c>
      <c r="R1" t="s">
        <v>910</v>
      </c>
      <c r="S1" t="s">
        <v>911</v>
      </c>
      <c r="T1" t="s">
        <v>912</v>
      </c>
      <c r="U1" t="s">
        <v>913</v>
      </c>
    </row>
    <row r="2" spans="1:21" x14ac:dyDescent="0.2">
      <c r="A2" t="s">
        <v>58</v>
      </c>
      <c r="B2" s="2">
        <v>0</v>
      </c>
      <c r="C2" s="2">
        <v>0</v>
      </c>
      <c r="D2" s="2">
        <v>9.5238095238095205E-2</v>
      </c>
      <c r="E2" s="2">
        <v>0.109243697478991</v>
      </c>
      <c r="F2" s="2">
        <v>0</v>
      </c>
      <c r="G2" s="2">
        <v>0</v>
      </c>
      <c r="H2" s="2">
        <v>0.22222222222222199</v>
      </c>
      <c r="I2" s="2">
        <v>0</v>
      </c>
      <c r="J2" s="2">
        <v>0</v>
      </c>
      <c r="K2" s="2">
        <v>0</v>
      </c>
      <c r="L2" t="str">
        <f>IF(B2=0,"","Q"&amp;INT(4*( RANK(B2, IF($B$2:$B$269&lt;&gt;0, $B$2:$B$269), 0) - 1 ) / COUNTIF($B$2:$B$269,"&gt;0")) + 1)</f>
        <v/>
      </c>
      <c r="M2" t="str">
        <f>IF(C2=0,"","Q"&amp;INT(4*( RANK(C2, IF($C$2:$C$269&lt;&gt;0, $C$2:$C$269), 0) - 1 ) / COUNTIF($C$2:$C$269,"&gt;0")) + 1)</f>
        <v/>
      </c>
      <c r="N2" t="str">
        <f>IF(D2=0,"","Q"&amp;INT(4*( RANK(D2, IF($D$2:$D$269&lt;&gt;0, $D$2:$D$269), 0) - 1 ) / COUNTIF($D$2:$D$269,"&gt;0")) + 1)</f>
        <v>Q3</v>
      </c>
      <c r="O2" t="str">
        <f>IF(E2=0,"","Q"&amp;INT(4*( RANK(E2, IF($E$2:$E$269&lt;&gt;0, $E$2:$E$269), 0) - 1 ) / COUNTIF($E$2:$E$269,"&gt;0")) + 1)</f>
        <v>Q1</v>
      </c>
      <c r="P2" t="str">
        <f>IF(F2=0,"","Q"&amp;INT(4*( RANK(F2, IF($F$2:$F$269&lt;&gt;0, $F$2:$F$269), 0) - 1 ) / COUNTIF($F$2:$F$269,"&gt;0")) + 1)</f>
        <v/>
      </c>
      <c r="Q2" t="str">
        <f>IF(G2=0,"","Q"&amp;INT(4*( RANK(G2, IF($G$2:$G$269&lt;&gt;0, $G$2:$G$269), 0) - 1 ) / COUNTIF($G$2:$G$269,"&gt;0")) + 1)</f>
        <v/>
      </c>
      <c r="R2" t="str">
        <f>IF(H2=0,"","Q"&amp;INT(4*( RANK(H2, IF($H$2:$H$269&lt;&gt;0, $H$2:$H$269), 0) - 1 ) / COUNTIF($H$2:$H$269,"&gt;0")) + 1)</f>
        <v>Q3</v>
      </c>
      <c r="S2" t="str">
        <f>IF(I2=0,"","Q"&amp;INT(4*( RANK(I2, IF($I$2:$I$269&lt;&gt;0, $I$2:$I$269), 0) - 1 ) / COUNTIF($I$2:$I$269,"&gt;0")) + 1)</f>
        <v/>
      </c>
      <c r="T2" t="str">
        <f>IF(J2=0,"","Q"&amp;INT(4*( RANK(J2, IF($J$2:$J$269&lt;&gt;0, $J$2:$J$269), 0) - 1 ) / COUNTIF($J$2:$J$269,"&gt;0")) + 1)</f>
        <v/>
      </c>
      <c r="U2" t="str">
        <f>IF(K2=0,"","Q"&amp;INT(4*( RANK(K2, IF($K$2:$K$269&lt;&gt;0, $K$2:$K$269), 0) - 1 ) / COUNTIF($K$2:$K$269,"&gt;0")) + 1)</f>
        <v/>
      </c>
    </row>
    <row r="3" spans="1:21" x14ac:dyDescent="0.2">
      <c r="A3" t="s">
        <v>59</v>
      </c>
      <c r="B3" s="2">
        <v>0</v>
      </c>
      <c r="C3" s="2">
        <v>0</v>
      </c>
      <c r="D3" s="2">
        <v>0</v>
      </c>
      <c r="E3" s="2">
        <v>4.2016806722688996E-3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t="str">
        <f>IF(B3=0,"","Q"&amp;INT(4*( RANK(B3, IF($B$2:$B$269&lt;&gt;0, $B$2:$B$269), 0) - 1 ) / COUNTIF($B$2:$B$269,"&gt;0")) + 1)</f>
        <v/>
      </c>
      <c r="M3" t="str">
        <f>IF(C3=0,"","Q"&amp;INT(4*( RANK(C3, IF($C$2:$C$269&lt;&gt;0, $C$2:$C$269), 0) - 1 ) / COUNTIF($C$2:$C$269,"&gt;0")) + 1)</f>
        <v/>
      </c>
      <c r="N3" t="str">
        <f>IF(D3=0,"","Q"&amp;INT(4*( RANK(D3, IF($D$2:$D$269&lt;&gt;0, $D$2:$D$269), 0) - 1 ) / COUNTIF($D$2:$D$269,"&gt;0")) + 1)</f>
        <v/>
      </c>
      <c r="O3" t="str">
        <f>IF(E3=0,"","Q"&amp;INT(4*( RANK(E3, IF($E$2:$E$269&lt;&gt;0, $E$2:$E$269), 0) - 1 ) / COUNTIF($E$2:$E$269,"&gt;0")) + 1)</f>
        <v>Q4</v>
      </c>
      <c r="P3" t="str">
        <f>IF(F3=0,"","Q"&amp;INT(4*( RANK(F3, IF($F$2:$F$269&lt;&gt;0, $F$2:$F$269), 0) - 1 ) / COUNTIF($F$2:$F$269,"&gt;0")) + 1)</f>
        <v/>
      </c>
      <c r="Q3" t="str">
        <f>IF(G3=0,"","Q"&amp;INT(4*( RANK(G3, IF($G$2:$G$269&lt;&gt;0, $G$2:$G$269), 0) - 1 ) / COUNTIF($G$2:$G$269,"&gt;0")) + 1)</f>
        <v/>
      </c>
      <c r="R3" t="str">
        <f>IF(H3=0,"","Q"&amp;INT(4*( RANK(H3, IF($H$2:$H$269&lt;&gt;0, $H$2:$H$269), 0) - 1 ) / COUNTIF($H$2:$H$269,"&gt;0")) + 1)</f>
        <v/>
      </c>
      <c r="S3" t="str">
        <f>IF(I3=0,"","Q"&amp;INT(4*( RANK(I3, IF($I$2:$I$269&lt;&gt;0, $I$2:$I$269), 0) - 1 ) / COUNTIF($I$2:$I$269,"&gt;0")) + 1)</f>
        <v/>
      </c>
      <c r="T3" t="str">
        <f>IF(J3=0,"","Q"&amp;INT(4*( RANK(J3, IF($J$2:$J$269&lt;&gt;0, $J$2:$J$269), 0) - 1 ) / COUNTIF($J$2:$J$269,"&gt;0")) + 1)</f>
        <v/>
      </c>
      <c r="U3" t="str">
        <f>IF(K3=0,"","Q"&amp;INT(4*( RANK(K3, IF($K$2:$K$269&lt;&gt;0, $K$2:$K$269), 0) - 1 ) / COUNTIF($K$2:$K$269,"&gt;0")) + 1)</f>
        <v/>
      </c>
    </row>
    <row r="4" spans="1:21" x14ac:dyDescent="0.2">
      <c r="A4" t="s">
        <v>60</v>
      </c>
      <c r="B4" s="2">
        <v>0</v>
      </c>
      <c r="C4" s="2">
        <v>0.5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t="str">
        <f>IF(B4=0,"","Q"&amp;INT(4*( RANK(B4, IF($B$2:$B$269&lt;&gt;0, $B$2:$B$269), 0) - 1 ) / COUNTIF($B$2:$B$269,"&gt;0")) + 1)</f>
        <v/>
      </c>
      <c r="M4" t="str">
        <f>IF(C4=0,"","Q"&amp;INT(4*( RANK(C4, IF($C$2:$C$269&lt;&gt;0, $C$2:$C$269), 0) - 1 ) / COUNTIF($C$2:$C$269,"&gt;0")) + 1)</f>
        <v>Q2</v>
      </c>
      <c r="N4" t="str">
        <f>IF(D4=0,"","Q"&amp;INT(4*( RANK(D4, IF($D$2:$D$269&lt;&gt;0, $D$2:$D$269), 0) - 1 ) / COUNTIF($D$2:$D$269,"&gt;0")) + 1)</f>
        <v/>
      </c>
      <c r="O4" t="str">
        <f>IF(E4=0,"","Q"&amp;INT(4*( RANK(E4, IF($E$2:$E$269&lt;&gt;0, $E$2:$E$269), 0) - 1 ) / COUNTIF($E$2:$E$269,"&gt;0")) + 1)</f>
        <v/>
      </c>
      <c r="P4" t="str">
        <f>IF(F4=0,"","Q"&amp;INT(4*( RANK(F4, IF($F$2:$F$269&lt;&gt;0, $F$2:$F$269), 0) - 1 ) / COUNTIF($F$2:$F$269,"&gt;0")) + 1)</f>
        <v/>
      </c>
      <c r="Q4" t="str">
        <f>IF(G4=0,"","Q"&amp;INT(4*( RANK(G4, IF($G$2:$G$269&lt;&gt;0, $G$2:$G$269), 0) - 1 ) / COUNTIF($G$2:$G$269,"&gt;0")) + 1)</f>
        <v/>
      </c>
      <c r="R4" t="str">
        <f>IF(H4=0,"","Q"&amp;INT(4*( RANK(H4, IF($H$2:$H$269&lt;&gt;0, $H$2:$H$269), 0) - 1 ) / COUNTIF($H$2:$H$269,"&gt;0")) + 1)</f>
        <v/>
      </c>
      <c r="S4" t="str">
        <f>IF(I4=0,"","Q"&amp;INT(4*( RANK(I4, IF($I$2:$I$269&lt;&gt;0, $I$2:$I$269), 0) - 1 ) / COUNTIF($I$2:$I$269,"&gt;0")) + 1)</f>
        <v/>
      </c>
      <c r="T4" t="str">
        <f>IF(J4=0,"","Q"&amp;INT(4*( RANK(J4, IF($J$2:$J$269&lt;&gt;0, $J$2:$J$269), 0) - 1 ) / COUNTIF($J$2:$J$269,"&gt;0")) + 1)</f>
        <v/>
      </c>
      <c r="U4" t="str">
        <f>IF(K4=0,"","Q"&amp;INT(4*( RANK(K4, IF($K$2:$K$269&lt;&gt;0, $K$2:$K$269), 0) - 1 ) / COUNTIF($K$2:$K$269,"&gt;0")) + 1)</f>
        <v/>
      </c>
    </row>
    <row r="5" spans="1:21" x14ac:dyDescent="0.2">
      <c r="A5" t="s">
        <v>918</v>
      </c>
      <c r="B5" s="2">
        <v>0</v>
      </c>
      <c r="C5" s="2">
        <v>0</v>
      </c>
      <c r="D5" s="2">
        <v>0</v>
      </c>
      <c r="E5" s="2">
        <v>2.5210084033613401E-2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t="str">
        <f>IF(B5=0,"","Q"&amp;INT(4*( RANK(B5, IF($B$2:$B$269&lt;&gt;0, $B$2:$B$269), 0) - 1 ) / COUNTIF($B$2:$B$269,"&gt;0")) + 1)</f>
        <v/>
      </c>
      <c r="M5" t="str">
        <f>IF(C5=0,"","Q"&amp;INT(4*( RANK(C5, IF($C$2:$C$269&lt;&gt;0, $C$2:$C$269), 0) - 1 ) / COUNTIF($C$2:$C$269,"&gt;0")) + 1)</f>
        <v/>
      </c>
      <c r="N5" t="str">
        <f>IF(D5=0,"","Q"&amp;INT(4*( RANK(D5, IF($D$2:$D$269&lt;&gt;0, $D$2:$D$269), 0) - 1 ) / COUNTIF($D$2:$D$269,"&gt;0")) + 1)</f>
        <v/>
      </c>
      <c r="O5" t="str">
        <f>IF(E5=0,"","Q"&amp;INT(4*( RANK(E5, IF($E$2:$E$269&lt;&gt;0, $E$2:$E$269), 0) - 1 ) / COUNTIF($E$2:$E$269,"&gt;0")) + 1)</f>
        <v>Q1</v>
      </c>
      <c r="P5" t="str">
        <f>IF(F5=0,"","Q"&amp;INT(4*( RANK(F5, IF($F$2:$F$269&lt;&gt;0, $F$2:$F$269), 0) - 1 ) / COUNTIF($F$2:$F$269,"&gt;0")) + 1)</f>
        <v/>
      </c>
      <c r="Q5" t="str">
        <f>IF(G5=0,"","Q"&amp;INT(4*( RANK(G5, IF($G$2:$G$269&lt;&gt;0, $G$2:$G$269), 0) - 1 ) / COUNTIF($G$2:$G$269,"&gt;0")) + 1)</f>
        <v/>
      </c>
      <c r="R5" t="str">
        <f>IF(H5=0,"","Q"&amp;INT(4*( RANK(H5, IF($H$2:$H$269&lt;&gt;0, $H$2:$H$269), 0) - 1 ) / COUNTIF($H$2:$H$269,"&gt;0")) + 1)</f>
        <v/>
      </c>
      <c r="S5" t="str">
        <f>IF(I5=0,"","Q"&amp;INT(4*( RANK(I5, IF($I$2:$I$269&lt;&gt;0, $I$2:$I$269), 0) - 1 ) / COUNTIF($I$2:$I$269,"&gt;0")) + 1)</f>
        <v/>
      </c>
      <c r="T5" t="str">
        <f>IF(J5=0,"","Q"&amp;INT(4*( RANK(J5, IF($J$2:$J$269&lt;&gt;0, $J$2:$J$269), 0) - 1 ) / COUNTIF($J$2:$J$269,"&gt;0")) + 1)</f>
        <v/>
      </c>
      <c r="U5" t="str">
        <f>IF(K5=0,"","Q"&amp;INT(4*( RANK(K5, IF($K$2:$K$269&lt;&gt;0, $K$2:$K$269), 0) - 1 ) / COUNTIF($K$2:$K$269,"&gt;0")) + 1)</f>
        <v/>
      </c>
    </row>
    <row r="6" spans="1:21" x14ac:dyDescent="0.2">
      <c r="A6" t="s">
        <v>919</v>
      </c>
      <c r="B6" s="2">
        <v>0</v>
      </c>
      <c r="C6" s="2">
        <v>0</v>
      </c>
      <c r="D6" s="2">
        <v>0</v>
      </c>
      <c r="E6" s="2">
        <v>1.26050420168067E-2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t="str">
        <f>IF(B6=0,"","Q"&amp;INT(4*( RANK(B6, IF($B$2:$B$269&lt;&gt;0, $B$2:$B$269), 0) - 1 ) / COUNTIF($B$2:$B$269,"&gt;0")) + 1)</f>
        <v/>
      </c>
      <c r="M6" t="str">
        <f>IF(C6=0,"","Q"&amp;INT(4*( RANK(C6, IF($C$2:$C$269&lt;&gt;0, $C$2:$C$269), 0) - 1 ) / COUNTIF($C$2:$C$269,"&gt;0")) + 1)</f>
        <v/>
      </c>
      <c r="N6" t="str">
        <f>IF(D6=0,"","Q"&amp;INT(4*( RANK(D6, IF($D$2:$D$269&lt;&gt;0, $D$2:$D$269), 0) - 1 ) / COUNTIF($D$2:$D$269,"&gt;0")) + 1)</f>
        <v/>
      </c>
      <c r="O6" t="str">
        <f>IF(E6=0,"","Q"&amp;INT(4*( RANK(E6, IF($E$2:$E$269&lt;&gt;0, $E$2:$E$269), 0) - 1 ) / COUNTIF($E$2:$E$269,"&gt;0")) + 1)</f>
        <v>Q2</v>
      </c>
      <c r="P6" t="str">
        <f>IF(F6=0,"","Q"&amp;INT(4*( RANK(F6, IF($F$2:$F$269&lt;&gt;0, $F$2:$F$269), 0) - 1 ) / COUNTIF($F$2:$F$269,"&gt;0")) + 1)</f>
        <v/>
      </c>
      <c r="Q6" t="str">
        <f>IF(G6=0,"","Q"&amp;INT(4*( RANK(G6, IF($G$2:$G$269&lt;&gt;0, $G$2:$G$269), 0) - 1 ) / COUNTIF($G$2:$G$269,"&gt;0")) + 1)</f>
        <v/>
      </c>
      <c r="R6" t="str">
        <f>IF(H6=0,"","Q"&amp;INT(4*( RANK(H6, IF($H$2:$H$269&lt;&gt;0, $H$2:$H$269), 0) - 1 ) / COUNTIF($H$2:$H$269,"&gt;0")) + 1)</f>
        <v/>
      </c>
      <c r="S6" t="str">
        <f>IF(I6=0,"","Q"&amp;INT(4*( RANK(I6, IF($I$2:$I$269&lt;&gt;0, $I$2:$I$269), 0) - 1 ) / COUNTIF($I$2:$I$269,"&gt;0")) + 1)</f>
        <v/>
      </c>
      <c r="T6" t="str">
        <f>IF(J6=0,"","Q"&amp;INT(4*( RANK(J6, IF($J$2:$J$269&lt;&gt;0, $J$2:$J$269), 0) - 1 ) / COUNTIF($J$2:$J$269,"&gt;0")) + 1)</f>
        <v/>
      </c>
      <c r="U6" t="str">
        <f>IF(K6=0,"","Q"&amp;INT(4*( RANK(K6, IF($K$2:$K$269&lt;&gt;0, $K$2:$K$269), 0) - 1 ) / COUNTIF($K$2:$K$269,"&gt;0")) + 1)</f>
        <v/>
      </c>
    </row>
    <row r="7" spans="1:21" x14ac:dyDescent="0.2">
      <c r="A7" t="s">
        <v>1031</v>
      </c>
      <c r="B7" s="2">
        <v>0</v>
      </c>
      <c r="C7" s="2">
        <v>0</v>
      </c>
      <c r="D7" s="2">
        <v>0.238095238095238</v>
      </c>
      <c r="E7" s="2">
        <v>8.4033613445378096E-3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t="str">
        <f>IF(B7=0,"","Q"&amp;INT(4*( RANK(B7, IF($B$2:$B$269&lt;&gt;0, $B$2:$B$269), 0) - 1 ) / COUNTIF($B$2:$B$269,"&gt;0")) + 1)</f>
        <v/>
      </c>
      <c r="M7" t="str">
        <f>IF(C7=0,"","Q"&amp;INT(4*( RANK(C7, IF($C$2:$C$269&lt;&gt;0, $C$2:$C$269), 0) - 1 ) / COUNTIF($C$2:$C$269,"&gt;0")) + 1)</f>
        <v/>
      </c>
      <c r="N7" t="str">
        <f>IF(D7=0,"","Q"&amp;INT(4*( RANK(D7, IF($D$2:$D$269&lt;&gt;0, $D$2:$D$269), 0) - 1 ) / COUNTIF($D$2:$D$269,"&gt;0")) + 1)</f>
        <v>Q2</v>
      </c>
      <c r="O7" t="str">
        <f>IF(E7=0,"","Q"&amp;INT(4*( RANK(E7, IF($E$2:$E$269&lt;&gt;0, $E$2:$E$269), 0) - 1 ) / COUNTIF($E$2:$E$269,"&gt;0")) + 1)</f>
        <v>Q3</v>
      </c>
      <c r="P7" t="str">
        <f>IF(F7=0,"","Q"&amp;INT(4*( RANK(F7, IF($F$2:$F$269&lt;&gt;0, $F$2:$F$269), 0) - 1 ) / COUNTIF($F$2:$F$269,"&gt;0")) + 1)</f>
        <v/>
      </c>
      <c r="Q7" t="str">
        <f>IF(G7=0,"","Q"&amp;INT(4*( RANK(G7, IF($G$2:$G$269&lt;&gt;0, $G$2:$G$269), 0) - 1 ) / COUNTIF($G$2:$G$269,"&gt;0")) + 1)</f>
        <v/>
      </c>
      <c r="R7" t="str">
        <f>IF(H7=0,"","Q"&amp;INT(4*( RANK(H7, IF($H$2:$H$269&lt;&gt;0, $H$2:$H$269), 0) - 1 ) / COUNTIF($H$2:$H$269,"&gt;0")) + 1)</f>
        <v/>
      </c>
      <c r="S7" t="str">
        <f>IF(I7=0,"","Q"&amp;INT(4*( RANK(I7, IF($I$2:$I$269&lt;&gt;0, $I$2:$I$269), 0) - 1 ) / COUNTIF($I$2:$I$269,"&gt;0")) + 1)</f>
        <v/>
      </c>
      <c r="T7" t="str">
        <f>IF(J7=0,"","Q"&amp;INT(4*( RANK(J7, IF($J$2:$J$269&lt;&gt;0, $J$2:$J$269), 0) - 1 ) / COUNTIF($J$2:$J$269,"&gt;0")) + 1)</f>
        <v/>
      </c>
      <c r="U7" t="str">
        <f>IF(K7=0,"","Q"&amp;INT(4*( RANK(K7, IF($K$2:$K$269&lt;&gt;0, $K$2:$K$269), 0) - 1 ) / COUNTIF($K$2:$K$269,"&gt;0")) + 1)</f>
        <v/>
      </c>
    </row>
    <row r="8" spans="1:21" x14ac:dyDescent="0.2">
      <c r="A8" t="s">
        <v>1032</v>
      </c>
      <c r="B8" s="2">
        <v>0</v>
      </c>
      <c r="C8" s="2">
        <v>0.6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t="str">
        <f>IF(B8=0,"","Q"&amp;INT(4*( RANK(B8, IF($B$2:$B$269&lt;&gt;0, $B$2:$B$269), 0) - 1 ) / COUNTIF($B$2:$B$269,"&gt;0")) + 1)</f>
        <v/>
      </c>
      <c r="M8" t="str">
        <f>IF(C8=0,"","Q"&amp;INT(4*( RANK(C8, IF($C$2:$C$269&lt;&gt;0, $C$2:$C$269), 0) - 1 ) / COUNTIF($C$2:$C$269,"&gt;0")) + 1)</f>
        <v>Q1</v>
      </c>
      <c r="N8" t="str">
        <f>IF(D8=0,"","Q"&amp;INT(4*( RANK(D8, IF($D$2:$D$269&lt;&gt;0, $D$2:$D$269), 0) - 1 ) / COUNTIF($D$2:$D$269,"&gt;0")) + 1)</f>
        <v/>
      </c>
      <c r="O8" t="str">
        <f>IF(E8=0,"","Q"&amp;INT(4*( RANK(E8, IF($E$2:$E$269&lt;&gt;0, $E$2:$E$269), 0) - 1 ) / COUNTIF($E$2:$E$269,"&gt;0")) + 1)</f>
        <v/>
      </c>
      <c r="P8" t="str">
        <f>IF(F8=0,"","Q"&amp;INT(4*( RANK(F8, IF($F$2:$F$269&lt;&gt;0, $F$2:$F$269), 0) - 1 ) / COUNTIF($F$2:$F$269,"&gt;0")) + 1)</f>
        <v/>
      </c>
      <c r="Q8" t="str">
        <f>IF(G8=0,"","Q"&amp;INT(4*( RANK(G8, IF($G$2:$G$269&lt;&gt;0, $G$2:$G$269), 0) - 1 ) / COUNTIF($G$2:$G$269,"&gt;0")) + 1)</f>
        <v/>
      </c>
      <c r="R8" t="str">
        <f>IF(H8=0,"","Q"&amp;INT(4*( RANK(H8, IF($H$2:$H$269&lt;&gt;0, $H$2:$H$269), 0) - 1 ) / COUNTIF($H$2:$H$269,"&gt;0")) + 1)</f>
        <v/>
      </c>
      <c r="S8" t="str">
        <f>IF(I8=0,"","Q"&amp;INT(4*( RANK(I8, IF($I$2:$I$269&lt;&gt;0, $I$2:$I$269), 0) - 1 ) / COUNTIF($I$2:$I$269,"&gt;0")) + 1)</f>
        <v/>
      </c>
      <c r="T8" t="str">
        <f>IF(J8=0,"","Q"&amp;INT(4*( RANK(J8, IF($J$2:$J$269&lt;&gt;0, $J$2:$J$269), 0) - 1 ) / COUNTIF($J$2:$J$269,"&gt;0")) + 1)</f>
        <v/>
      </c>
      <c r="U8" t="str">
        <f>IF(K8=0,"","Q"&amp;INT(4*( RANK(K8, IF($K$2:$K$269&lt;&gt;0, $K$2:$K$269), 0) - 1 ) / COUNTIF($K$2:$K$269,"&gt;0")) + 1)</f>
        <v/>
      </c>
    </row>
    <row r="9" spans="1:21" x14ac:dyDescent="0.2">
      <c r="A9" t="s">
        <v>65</v>
      </c>
      <c r="B9" s="2">
        <v>0</v>
      </c>
      <c r="C9" s="2">
        <v>0</v>
      </c>
      <c r="D9" s="2">
        <v>0</v>
      </c>
      <c r="E9" s="2">
        <v>4.2016806722688996E-3</v>
      </c>
      <c r="F9" s="2">
        <v>3.8461538461538401E-2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t="str">
        <f>IF(B9=0,"","Q"&amp;INT(4*( RANK(B9, IF($B$2:$B$269&lt;&gt;0, $B$2:$B$269), 0) - 1 ) / COUNTIF($B$2:$B$269,"&gt;0")) + 1)</f>
        <v/>
      </c>
      <c r="M9" t="str">
        <f>IF(C9=0,"","Q"&amp;INT(4*( RANK(C9, IF($C$2:$C$269&lt;&gt;0, $C$2:$C$269), 0) - 1 ) / COUNTIF($C$2:$C$269,"&gt;0")) + 1)</f>
        <v/>
      </c>
      <c r="N9" t="str">
        <f>IF(D9=0,"","Q"&amp;INT(4*( RANK(D9, IF($D$2:$D$269&lt;&gt;0, $D$2:$D$269), 0) - 1 ) / COUNTIF($D$2:$D$269,"&gt;0")) + 1)</f>
        <v/>
      </c>
      <c r="O9" t="str">
        <f>IF(E9=0,"","Q"&amp;INT(4*( RANK(E9, IF($E$2:$E$269&lt;&gt;0, $E$2:$E$269), 0) - 1 ) / COUNTIF($E$2:$E$269,"&gt;0")) + 1)</f>
        <v>Q4</v>
      </c>
      <c r="P9" t="str">
        <f>IF(F9=0,"","Q"&amp;INT(4*( RANK(F9, IF($F$2:$F$269&lt;&gt;0, $F$2:$F$269), 0) - 1 ) / COUNTIF($F$2:$F$269,"&gt;0")) + 1)</f>
        <v>Q4</v>
      </c>
      <c r="Q9" t="str">
        <f>IF(G9=0,"","Q"&amp;INT(4*( RANK(G9, IF($G$2:$G$269&lt;&gt;0, $G$2:$G$269), 0) - 1 ) / COUNTIF($G$2:$G$269,"&gt;0")) + 1)</f>
        <v/>
      </c>
      <c r="R9" t="str">
        <f>IF(H9=0,"","Q"&amp;INT(4*( RANK(H9, IF($H$2:$H$269&lt;&gt;0, $H$2:$H$269), 0) - 1 ) / COUNTIF($H$2:$H$269,"&gt;0")) + 1)</f>
        <v/>
      </c>
      <c r="S9" t="str">
        <f>IF(I9=0,"","Q"&amp;INT(4*( RANK(I9, IF($I$2:$I$269&lt;&gt;0, $I$2:$I$269), 0) - 1 ) / COUNTIF($I$2:$I$269,"&gt;0")) + 1)</f>
        <v/>
      </c>
      <c r="T9" t="str">
        <f>IF(J9=0,"","Q"&amp;INT(4*( RANK(J9, IF($J$2:$J$269&lt;&gt;0, $J$2:$J$269), 0) - 1 ) / COUNTIF($J$2:$J$269,"&gt;0")) + 1)</f>
        <v/>
      </c>
      <c r="U9" t="str">
        <f>IF(K9=0,"","Q"&amp;INT(4*( RANK(K9, IF($K$2:$K$269&lt;&gt;0, $K$2:$K$269), 0) - 1 ) / COUNTIF($K$2:$K$269,"&gt;0")) + 1)</f>
        <v/>
      </c>
    </row>
    <row r="10" spans="1:21" x14ac:dyDescent="0.2">
      <c r="A10" t="s">
        <v>66</v>
      </c>
      <c r="B10" s="2">
        <v>0</v>
      </c>
      <c r="C10" s="2">
        <v>0</v>
      </c>
      <c r="D10" s="2">
        <v>0</v>
      </c>
      <c r="E10" s="2">
        <v>4.2016806722688996E-3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t="str">
        <f>IF(B10=0,"","Q"&amp;INT(4*( RANK(B10, IF($B$2:$B$269&lt;&gt;0, $B$2:$B$269), 0) - 1 ) / COUNTIF($B$2:$B$269,"&gt;0")) + 1)</f>
        <v/>
      </c>
      <c r="M10" t="str">
        <f>IF(C10=0,"","Q"&amp;INT(4*( RANK(C10, IF($C$2:$C$269&lt;&gt;0, $C$2:$C$269), 0) - 1 ) / COUNTIF($C$2:$C$269,"&gt;0")) + 1)</f>
        <v/>
      </c>
      <c r="N10" t="str">
        <f>IF(D10=0,"","Q"&amp;INT(4*( RANK(D10, IF($D$2:$D$269&lt;&gt;0, $D$2:$D$269), 0) - 1 ) / COUNTIF($D$2:$D$269,"&gt;0")) + 1)</f>
        <v/>
      </c>
      <c r="O10" t="str">
        <f>IF(E10=0,"","Q"&amp;INT(4*( RANK(E10, IF($E$2:$E$269&lt;&gt;0, $E$2:$E$269), 0) - 1 ) / COUNTIF($E$2:$E$269,"&gt;0")) + 1)</f>
        <v>Q4</v>
      </c>
      <c r="P10" t="str">
        <f>IF(F10=0,"","Q"&amp;INT(4*( RANK(F10, IF($F$2:$F$269&lt;&gt;0, $F$2:$F$269), 0) - 1 ) / COUNTIF($F$2:$F$269,"&gt;0")) + 1)</f>
        <v/>
      </c>
      <c r="Q10" t="str">
        <f>IF(G10=0,"","Q"&amp;INT(4*( RANK(G10, IF($G$2:$G$269&lt;&gt;0, $G$2:$G$269), 0) - 1 ) / COUNTIF($G$2:$G$269,"&gt;0")) + 1)</f>
        <v/>
      </c>
      <c r="R10" t="str">
        <f>IF(H10=0,"","Q"&amp;INT(4*( RANK(H10, IF($H$2:$H$269&lt;&gt;0, $H$2:$H$269), 0) - 1 ) / COUNTIF($H$2:$H$269,"&gt;0")) + 1)</f>
        <v/>
      </c>
      <c r="S10" t="str">
        <f>IF(I10=0,"","Q"&amp;INT(4*( RANK(I10, IF($I$2:$I$269&lt;&gt;0, $I$2:$I$269), 0) - 1 ) / COUNTIF($I$2:$I$269,"&gt;0")) + 1)</f>
        <v/>
      </c>
      <c r="T10" t="str">
        <f>IF(J10=0,"","Q"&amp;INT(4*( RANK(J10, IF($J$2:$J$269&lt;&gt;0, $J$2:$J$269), 0) - 1 ) / COUNTIF($J$2:$J$269,"&gt;0")) + 1)</f>
        <v/>
      </c>
      <c r="U10" t="str">
        <f>IF(K10=0,"","Q"&amp;INT(4*( RANK(K10, IF($K$2:$K$269&lt;&gt;0, $K$2:$K$269), 0) - 1 ) / COUNTIF($K$2:$K$269,"&gt;0")) + 1)</f>
        <v/>
      </c>
    </row>
    <row r="11" spans="1:21" x14ac:dyDescent="0.2">
      <c r="A11" t="s">
        <v>67</v>
      </c>
      <c r="B11" s="2">
        <v>0</v>
      </c>
      <c r="C11" s="2">
        <v>0</v>
      </c>
      <c r="D11" s="2">
        <v>0</v>
      </c>
      <c r="E11" s="2">
        <v>8.4033613445378096E-3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t="str">
        <f>IF(B11=0,"","Q"&amp;INT(4*( RANK(B11, IF($B$2:$B$269&lt;&gt;0, $B$2:$B$269), 0) - 1 ) / COUNTIF($B$2:$B$269,"&gt;0")) + 1)</f>
        <v/>
      </c>
      <c r="M11" t="str">
        <f>IF(C11=0,"","Q"&amp;INT(4*( RANK(C11, IF($C$2:$C$269&lt;&gt;0, $C$2:$C$269), 0) - 1 ) / COUNTIF($C$2:$C$269,"&gt;0")) + 1)</f>
        <v/>
      </c>
      <c r="N11" t="str">
        <f>IF(D11=0,"","Q"&amp;INT(4*( RANK(D11, IF($D$2:$D$269&lt;&gt;0, $D$2:$D$269), 0) - 1 ) / COUNTIF($D$2:$D$269,"&gt;0")) + 1)</f>
        <v/>
      </c>
      <c r="O11" t="str">
        <f>IF(E11=0,"","Q"&amp;INT(4*( RANK(E11, IF($E$2:$E$269&lt;&gt;0, $E$2:$E$269), 0) - 1 ) / COUNTIF($E$2:$E$269,"&gt;0")) + 1)</f>
        <v>Q3</v>
      </c>
      <c r="P11" t="str">
        <f>IF(F11=0,"","Q"&amp;INT(4*( RANK(F11, IF($F$2:$F$269&lt;&gt;0, $F$2:$F$269), 0) - 1 ) / COUNTIF($F$2:$F$269,"&gt;0")) + 1)</f>
        <v/>
      </c>
      <c r="Q11" t="str">
        <f>IF(G11=0,"","Q"&amp;INT(4*( RANK(G11, IF($G$2:$G$269&lt;&gt;0, $G$2:$G$269), 0) - 1 ) / COUNTIF($G$2:$G$269,"&gt;0")) + 1)</f>
        <v/>
      </c>
      <c r="R11" t="str">
        <f>IF(H11=0,"","Q"&amp;INT(4*( RANK(H11, IF($H$2:$H$269&lt;&gt;0, $H$2:$H$269), 0) - 1 ) / COUNTIF($H$2:$H$269,"&gt;0")) + 1)</f>
        <v/>
      </c>
      <c r="S11" t="str">
        <f>IF(I11=0,"","Q"&amp;INT(4*( RANK(I11, IF($I$2:$I$269&lt;&gt;0, $I$2:$I$269), 0) - 1 ) / COUNTIF($I$2:$I$269,"&gt;0")) + 1)</f>
        <v/>
      </c>
      <c r="T11" t="str">
        <f>IF(J11=0,"","Q"&amp;INT(4*( RANK(J11, IF($J$2:$J$269&lt;&gt;0, $J$2:$J$269), 0) - 1 ) / COUNTIF($J$2:$J$269,"&gt;0")) + 1)</f>
        <v/>
      </c>
      <c r="U11" t="str">
        <f>IF(K11=0,"","Q"&amp;INT(4*( RANK(K11, IF($K$2:$K$269&lt;&gt;0, $K$2:$K$269), 0) - 1 ) / COUNTIF($K$2:$K$269,"&gt;0")) + 1)</f>
        <v/>
      </c>
    </row>
    <row r="12" spans="1:21" x14ac:dyDescent="0.2">
      <c r="A12" t="s">
        <v>68</v>
      </c>
      <c r="B12" s="2">
        <v>0</v>
      </c>
      <c r="C12" s="2">
        <v>0</v>
      </c>
      <c r="D12" s="2">
        <v>0</v>
      </c>
      <c r="E12" s="2">
        <v>4.2016806722688996E-3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t="str">
        <f>IF(B12=0,"","Q"&amp;INT(4*( RANK(B12, IF($B$2:$B$269&lt;&gt;0, $B$2:$B$269), 0) - 1 ) / COUNTIF($B$2:$B$269,"&gt;0")) + 1)</f>
        <v/>
      </c>
      <c r="M12" t="str">
        <f>IF(C12=0,"","Q"&amp;INT(4*( RANK(C12, IF($C$2:$C$269&lt;&gt;0, $C$2:$C$269), 0) - 1 ) / COUNTIF($C$2:$C$269,"&gt;0")) + 1)</f>
        <v/>
      </c>
      <c r="N12" t="str">
        <f>IF(D12=0,"","Q"&amp;INT(4*( RANK(D12, IF($D$2:$D$269&lt;&gt;0, $D$2:$D$269), 0) - 1 ) / COUNTIF($D$2:$D$269,"&gt;0")) + 1)</f>
        <v/>
      </c>
      <c r="O12" t="str">
        <f>IF(E12=0,"","Q"&amp;INT(4*( RANK(E12, IF($E$2:$E$269&lt;&gt;0, $E$2:$E$269), 0) - 1 ) / COUNTIF($E$2:$E$269,"&gt;0")) + 1)</f>
        <v>Q4</v>
      </c>
      <c r="P12" t="str">
        <f>IF(F12=0,"","Q"&amp;INT(4*( RANK(F12, IF($F$2:$F$269&lt;&gt;0, $F$2:$F$269), 0) - 1 ) / COUNTIF($F$2:$F$269,"&gt;0")) + 1)</f>
        <v/>
      </c>
      <c r="Q12" t="str">
        <f>IF(G12=0,"","Q"&amp;INT(4*( RANK(G12, IF($G$2:$G$269&lt;&gt;0, $G$2:$G$269), 0) - 1 ) / COUNTIF($G$2:$G$269,"&gt;0")) + 1)</f>
        <v/>
      </c>
      <c r="R12" t="str">
        <f>IF(H12=0,"","Q"&amp;INT(4*( RANK(H12, IF($H$2:$H$269&lt;&gt;0, $H$2:$H$269), 0) - 1 ) / COUNTIF($H$2:$H$269,"&gt;0")) + 1)</f>
        <v/>
      </c>
      <c r="S12" t="str">
        <f>IF(I12=0,"","Q"&amp;INT(4*( RANK(I12, IF($I$2:$I$269&lt;&gt;0, $I$2:$I$269), 0) - 1 ) / COUNTIF($I$2:$I$269,"&gt;0")) + 1)</f>
        <v/>
      </c>
      <c r="T12" t="str">
        <f>IF(J12=0,"","Q"&amp;INT(4*( RANK(J12, IF($J$2:$J$269&lt;&gt;0, $J$2:$J$269), 0) - 1 ) / COUNTIF($J$2:$J$269,"&gt;0")) + 1)</f>
        <v/>
      </c>
      <c r="U12" t="str">
        <f>IF(K12=0,"","Q"&amp;INT(4*( RANK(K12, IF($K$2:$K$269&lt;&gt;0, $K$2:$K$269), 0) - 1 ) / COUNTIF($K$2:$K$269,"&gt;0")) + 1)</f>
        <v/>
      </c>
    </row>
    <row r="13" spans="1:21" x14ac:dyDescent="0.2">
      <c r="A13" s="8" t="s">
        <v>917</v>
      </c>
      <c r="B13" s="2">
        <v>0</v>
      </c>
      <c r="C13" s="2">
        <v>0</v>
      </c>
      <c r="D13" s="2">
        <v>0</v>
      </c>
      <c r="E13" s="2">
        <v>6.7000000000000004E-2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t="str">
        <f>IF(B13=0,"","Q"&amp;INT(4*( RANK(B13, IF($B$2:$B$269&lt;&gt;0, $B$2:$B$269), 0) - 1 ) / COUNTIF($B$2:$B$269,"&gt;0")) + 1)</f>
        <v/>
      </c>
      <c r="M13" t="str">
        <f>IF(C13=0,"","Q"&amp;INT(4*( RANK(C13, IF($C$2:$C$269&lt;&gt;0, $C$2:$C$269), 0) - 1 ) / COUNTIF($C$2:$C$269,"&gt;0")) + 1)</f>
        <v/>
      </c>
      <c r="N13" t="str">
        <f>IF(D13=0,"","Q"&amp;INT(4*( RANK(D13, IF($D$2:$D$269&lt;&gt;0, $D$2:$D$269), 0) - 1 ) / COUNTIF($D$2:$D$269,"&gt;0")) + 1)</f>
        <v/>
      </c>
      <c r="O13" t="str">
        <f>IF(E13=0,"","Q"&amp;INT(4*( RANK(E13, IF($E$2:$E$269&lt;&gt;0, $E$2:$E$269), 0) - 1 ) / COUNTIF($E$2:$E$269,"&gt;0")) + 1)</f>
        <v>Q1</v>
      </c>
      <c r="P13" t="str">
        <f>IF(F13=0,"","Q"&amp;INT(4*( RANK(F13, IF($F$2:$F$269&lt;&gt;0, $F$2:$F$269), 0) - 1 ) / COUNTIF($F$2:$F$269,"&gt;0")) + 1)</f>
        <v/>
      </c>
      <c r="Q13" t="str">
        <f>IF(G13=0,"","Q"&amp;INT(4*( RANK(G13, IF($G$2:$G$269&lt;&gt;0, $G$2:$G$269), 0) - 1 ) / COUNTIF($G$2:$G$269,"&gt;0")) + 1)</f>
        <v/>
      </c>
      <c r="R13" t="str">
        <f>IF(H13=0,"","Q"&amp;INT(4*( RANK(H13, IF($H$2:$H$269&lt;&gt;0, $H$2:$H$269), 0) - 1 ) / COUNTIF($H$2:$H$269,"&gt;0")) + 1)</f>
        <v/>
      </c>
      <c r="S13" t="str">
        <f>IF(I13=0,"","Q"&amp;INT(4*( RANK(I13, IF($I$2:$I$269&lt;&gt;0, $I$2:$I$269), 0) - 1 ) / COUNTIF($I$2:$I$269,"&gt;0")) + 1)</f>
        <v/>
      </c>
      <c r="T13" t="str">
        <f>IF(J13=0,"","Q"&amp;INT(4*( RANK(J13, IF($J$2:$J$269&lt;&gt;0, $J$2:$J$269), 0) - 1 ) / COUNTIF($J$2:$J$269,"&gt;0")) + 1)</f>
        <v/>
      </c>
      <c r="U13" t="str">
        <f>IF(K13=0,"","Q"&amp;INT(4*( RANK(K13, IF($K$2:$K$269&lt;&gt;0, $K$2:$K$269), 0) - 1 ) / COUNTIF($K$2:$K$269,"&gt;0")) + 1)</f>
        <v/>
      </c>
    </row>
    <row r="14" spans="1:21" x14ac:dyDescent="0.2">
      <c r="A14" t="s">
        <v>71</v>
      </c>
      <c r="B14" s="2">
        <v>0</v>
      </c>
      <c r="C14" s="2">
        <v>0</v>
      </c>
      <c r="D14" s="2">
        <v>0</v>
      </c>
      <c r="E14" s="2">
        <v>1.26050420168067E-2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t="str">
        <f>IF(B14=0,"","Q"&amp;INT(4*( RANK(B14, IF($B$2:$B$269&lt;&gt;0, $B$2:$B$269), 0) - 1 ) / COUNTIF($B$2:$B$269,"&gt;0")) + 1)</f>
        <v/>
      </c>
      <c r="M14" t="str">
        <f>IF(C14=0,"","Q"&amp;INT(4*( RANK(C14, IF($C$2:$C$269&lt;&gt;0, $C$2:$C$269), 0) - 1 ) / COUNTIF($C$2:$C$269,"&gt;0")) + 1)</f>
        <v/>
      </c>
      <c r="N14" t="str">
        <f>IF(D14=0,"","Q"&amp;INT(4*( RANK(D14, IF($D$2:$D$269&lt;&gt;0, $D$2:$D$269), 0) - 1 ) / COUNTIF($D$2:$D$269,"&gt;0")) + 1)</f>
        <v/>
      </c>
      <c r="O14" t="str">
        <f>IF(E14=0,"","Q"&amp;INT(4*( RANK(E14, IF($E$2:$E$269&lt;&gt;0, $E$2:$E$269), 0) - 1 ) / COUNTIF($E$2:$E$269,"&gt;0")) + 1)</f>
        <v>Q2</v>
      </c>
      <c r="P14" t="str">
        <f>IF(F14=0,"","Q"&amp;INT(4*( RANK(F14, IF($F$2:$F$269&lt;&gt;0, $F$2:$F$269), 0) - 1 ) / COUNTIF($F$2:$F$269,"&gt;0")) + 1)</f>
        <v/>
      </c>
      <c r="Q14" t="str">
        <f>IF(G14=0,"","Q"&amp;INT(4*( RANK(G14, IF($G$2:$G$269&lt;&gt;0, $G$2:$G$269), 0) - 1 ) / COUNTIF($G$2:$G$269,"&gt;0")) + 1)</f>
        <v/>
      </c>
      <c r="R14" t="str">
        <f>IF(H14=0,"","Q"&amp;INT(4*( RANK(H14, IF($H$2:$H$269&lt;&gt;0, $H$2:$H$269), 0) - 1 ) / COUNTIF($H$2:$H$269,"&gt;0")) + 1)</f>
        <v/>
      </c>
      <c r="S14" t="str">
        <f>IF(I14=0,"","Q"&amp;INT(4*( RANK(I14, IF($I$2:$I$269&lt;&gt;0, $I$2:$I$269), 0) - 1 ) / COUNTIF($I$2:$I$269,"&gt;0")) + 1)</f>
        <v/>
      </c>
      <c r="T14" t="str">
        <f>IF(J14=0,"","Q"&amp;INT(4*( RANK(J14, IF($J$2:$J$269&lt;&gt;0, $J$2:$J$269), 0) - 1 ) / COUNTIF($J$2:$J$269,"&gt;0")) + 1)</f>
        <v/>
      </c>
      <c r="U14" t="str">
        <f>IF(K14=0,"","Q"&amp;INT(4*( RANK(K14, IF($K$2:$K$269&lt;&gt;0, $K$2:$K$269), 0) - 1 ) / COUNTIF($K$2:$K$269,"&gt;0")) + 1)</f>
        <v/>
      </c>
    </row>
    <row r="15" spans="1:21" x14ac:dyDescent="0.2">
      <c r="A15" s="8" t="s">
        <v>76</v>
      </c>
      <c r="B15" s="2">
        <v>0.8</v>
      </c>
      <c r="C15" s="2">
        <v>0</v>
      </c>
      <c r="D15" s="2">
        <v>0.33333333333333298</v>
      </c>
      <c r="E15" s="2">
        <v>0.10084033613445301</v>
      </c>
      <c r="F15" s="2">
        <v>7.69230769230769E-2</v>
      </c>
      <c r="G15" s="2">
        <v>0</v>
      </c>
      <c r="H15" s="2">
        <v>0</v>
      </c>
      <c r="I15" s="2">
        <v>0</v>
      </c>
      <c r="J15" s="2">
        <v>0.23300000000000001</v>
      </c>
      <c r="K15" s="2">
        <v>0</v>
      </c>
      <c r="L15" t="str">
        <f>IF(B15=0,"","Q"&amp;INT(4*( RANK(B15, IF($B$2:$B$269&lt;&gt;0, $B$2:$B$269), 0) - 1 ) / COUNTIF($B$2:$B$269,"&gt;0")) + 1)</f>
        <v>Q2</v>
      </c>
      <c r="M15" t="str">
        <f>IF(C15=0,"","Q"&amp;INT(4*( RANK(C15, IF($C$2:$C$269&lt;&gt;0, $C$2:$C$269), 0) - 1 ) / COUNTIF($C$2:$C$269,"&gt;0")) + 1)</f>
        <v/>
      </c>
      <c r="N15" t="str">
        <f>IF(D15=0,"","Q"&amp;INT(4*( RANK(D15, IF($D$2:$D$269&lt;&gt;0, $D$2:$D$269), 0) - 1 ) / COUNTIF($D$2:$D$269,"&gt;0")) + 1)</f>
        <v>Q1</v>
      </c>
      <c r="O15" t="str">
        <f>IF(E15=0,"","Q"&amp;INT(4*( RANK(E15, IF($E$2:$E$269&lt;&gt;0, $E$2:$E$269), 0) - 1 ) / COUNTIF($E$2:$E$269,"&gt;0")) + 1)</f>
        <v>Q1</v>
      </c>
      <c r="P15" t="str">
        <f>IF(F15=0,"","Q"&amp;INT(4*( RANK(F15, IF($F$2:$F$269&lt;&gt;0, $F$2:$F$269), 0) - 1 ) / COUNTIF($F$2:$F$269,"&gt;0")) + 1)</f>
        <v>Q3</v>
      </c>
      <c r="Q15" t="str">
        <f>IF(G15=0,"","Q"&amp;INT(4*( RANK(G15, IF($G$2:$G$269&lt;&gt;0, $G$2:$G$269), 0) - 1 ) / COUNTIF($G$2:$G$269,"&gt;0")) + 1)</f>
        <v/>
      </c>
      <c r="R15" t="str">
        <f>IF(H15=0,"","Q"&amp;INT(4*( RANK(H15, IF($H$2:$H$269&lt;&gt;0, $H$2:$H$269), 0) - 1 ) / COUNTIF($H$2:$H$269,"&gt;0")) + 1)</f>
        <v/>
      </c>
      <c r="S15" t="str">
        <f>IF(I15=0,"","Q"&amp;INT(4*( RANK(I15, IF($I$2:$I$269&lt;&gt;0, $I$2:$I$269), 0) - 1 ) / COUNTIF($I$2:$I$269,"&gt;0")) + 1)</f>
        <v/>
      </c>
      <c r="T15" t="str">
        <f>IF(J15=0,"","Q"&amp;INT(4*( RANK(J15, IF($J$2:$J$269&lt;&gt;0, $J$2:$J$269), 0) - 1 ) / COUNTIF($J$2:$J$269,"&gt;0")) + 1)</f>
        <v>Q1</v>
      </c>
      <c r="U15" t="str">
        <f>IF(K15=0,"","Q"&amp;INT(4*( RANK(K15, IF($K$2:$K$269&lt;&gt;0, $K$2:$K$269), 0) - 1 ) / COUNTIF($K$2:$K$269,"&gt;0")) + 1)</f>
        <v/>
      </c>
    </row>
    <row r="16" spans="1:21" x14ac:dyDescent="0.2">
      <c r="A16" t="s">
        <v>920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0.232558139534883</v>
      </c>
      <c r="K16" s="2">
        <v>0</v>
      </c>
      <c r="L16" t="str">
        <f>IF(B16=0,"","Q"&amp;INT(4*( RANK(B16, IF($B$2:$B$269&lt;&gt;0, $B$2:$B$269), 0) - 1 ) / COUNTIF($B$2:$B$269,"&gt;0")) + 1)</f>
        <v/>
      </c>
      <c r="M16" t="str">
        <f>IF(C16=0,"","Q"&amp;INT(4*( RANK(C16, IF($C$2:$C$269&lt;&gt;0, $C$2:$C$269), 0) - 1 ) / COUNTIF($C$2:$C$269,"&gt;0")) + 1)</f>
        <v/>
      </c>
      <c r="N16" t="str">
        <f>IF(D16=0,"","Q"&amp;INT(4*( RANK(D16, IF($D$2:$D$269&lt;&gt;0, $D$2:$D$269), 0) - 1 ) / COUNTIF($D$2:$D$269,"&gt;0")) + 1)</f>
        <v/>
      </c>
      <c r="O16" t="str">
        <f>IF(E16=0,"","Q"&amp;INT(4*( RANK(E16, IF($E$2:$E$269&lt;&gt;0, $E$2:$E$269), 0) - 1 ) / COUNTIF($E$2:$E$269,"&gt;0")) + 1)</f>
        <v/>
      </c>
      <c r="P16" t="str">
        <f>IF(F16=0,"","Q"&amp;INT(4*( RANK(F16, IF($F$2:$F$269&lt;&gt;0, $F$2:$F$269), 0) - 1 ) / COUNTIF($F$2:$F$269,"&gt;0")) + 1)</f>
        <v/>
      </c>
      <c r="Q16" t="str">
        <f>IF(G16=0,"","Q"&amp;INT(4*( RANK(G16, IF($G$2:$G$269&lt;&gt;0, $G$2:$G$269), 0) - 1 ) / COUNTIF($G$2:$G$269,"&gt;0")) + 1)</f>
        <v/>
      </c>
      <c r="R16" t="str">
        <f>IF(H16=0,"","Q"&amp;INT(4*( RANK(H16, IF($H$2:$H$269&lt;&gt;0, $H$2:$H$269), 0) - 1 ) / COUNTIF($H$2:$H$269,"&gt;0")) + 1)</f>
        <v/>
      </c>
      <c r="S16" t="str">
        <f>IF(I16=0,"","Q"&amp;INT(4*( RANK(I16, IF($I$2:$I$269&lt;&gt;0, $I$2:$I$269), 0) - 1 ) / COUNTIF($I$2:$I$269,"&gt;0")) + 1)</f>
        <v/>
      </c>
      <c r="T16" t="str">
        <f>IF(J16=0,"","Q"&amp;INT(4*( RANK(J16, IF($J$2:$J$269&lt;&gt;0, $J$2:$J$269), 0) - 1 ) / COUNTIF($J$2:$J$269,"&gt;0")) + 1)</f>
        <v>Q1</v>
      </c>
      <c r="U16" t="str">
        <f>IF(K16=0,"","Q"&amp;INT(4*( RANK(K16, IF($K$2:$K$269&lt;&gt;0, $K$2:$K$269), 0) - 1 ) / COUNTIF($K$2:$K$269,"&gt;0")) + 1)</f>
        <v/>
      </c>
    </row>
    <row r="17" spans="1:21" x14ac:dyDescent="0.2">
      <c r="A17" s="8" t="s">
        <v>77</v>
      </c>
      <c r="B17" s="2">
        <v>0</v>
      </c>
      <c r="C17" s="2">
        <v>0</v>
      </c>
      <c r="D17" s="2">
        <v>0</v>
      </c>
      <c r="E17" s="2">
        <v>8.4033613445378096E-3</v>
      </c>
      <c r="F17" s="2">
        <v>0</v>
      </c>
      <c r="G17" s="2">
        <v>0</v>
      </c>
      <c r="H17" s="2">
        <v>0</v>
      </c>
      <c r="I17" s="2">
        <v>0</v>
      </c>
      <c r="J17" s="2">
        <v>0.21</v>
      </c>
      <c r="K17" s="2">
        <v>0</v>
      </c>
      <c r="L17" t="str">
        <f>IF(B17=0,"","Q"&amp;INT(4*( RANK(B17, IF($B$2:$B$269&lt;&gt;0, $B$2:$B$269), 0) - 1 ) / COUNTIF($B$2:$B$269,"&gt;0")) + 1)</f>
        <v/>
      </c>
      <c r="M17" t="str">
        <f>IF(C17=0,"","Q"&amp;INT(4*( RANK(C17, IF($C$2:$C$269&lt;&gt;0, $C$2:$C$269), 0) - 1 ) / COUNTIF($C$2:$C$269,"&gt;0")) + 1)</f>
        <v/>
      </c>
      <c r="N17" t="str">
        <f>IF(D17=0,"","Q"&amp;INT(4*( RANK(D17, IF($D$2:$D$269&lt;&gt;0, $D$2:$D$269), 0) - 1 ) / COUNTIF($D$2:$D$269,"&gt;0")) + 1)</f>
        <v/>
      </c>
      <c r="O17" t="str">
        <f>IF(E17=0,"","Q"&amp;INT(4*( RANK(E17, IF($E$2:$E$269&lt;&gt;0, $E$2:$E$269), 0) - 1 ) / COUNTIF($E$2:$E$269,"&gt;0")) + 1)</f>
        <v>Q3</v>
      </c>
      <c r="P17" t="str">
        <f>IF(F17=0,"","Q"&amp;INT(4*( RANK(F17, IF($F$2:$F$269&lt;&gt;0, $F$2:$F$269), 0) - 1 ) / COUNTIF($F$2:$F$269,"&gt;0")) + 1)</f>
        <v/>
      </c>
      <c r="Q17" t="str">
        <f>IF(G17=0,"","Q"&amp;INT(4*( RANK(G17, IF($G$2:$G$269&lt;&gt;0, $G$2:$G$269), 0) - 1 ) / COUNTIF($G$2:$G$269,"&gt;0")) + 1)</f>
        <v/>
      </c>
      <c r="R17" t="str">
        <f>IF(H17=0,"","Q"&amp;INT(4*( RANK(H17, IF($H$2:$H$269&lt;&gt;0, $H$2:$H$269), 0) - 1 ) / COUNTIF($H$2:$H$269,"&gt;0")) + 1)</f>
        <v/>
      </c>
      <c r="S17" t="str">
        <f>IF(I17=0,"","Q"&amp;INT(4*( RANK(I17, IF($I$2:$I$269&lt;&gt;0, $I$2:$I$269), 0) - 1 ) / COUNTIF($I$2:$I$269,"&gt;0")) + 1)</f>
        <v/>
      </c>
      <c r="T17" t="str">
        <f>IF(J17=0,"","Q"&amp;INT(4*( RANK(J17, IF($J$2:$J$269&lt;&gt;0, $J$2:$J$269), 0) - 1 ) / COUNTIF($J$2:$J$269,"&gt;0")) + 1)</f>
        <v>Q1</v>
      </c>
      <c r="U17" t="str">
        <f>IF(K17=0,"","Q"&amp;INT(4*( RANK(K17, IF($K$2:$K$269&lt;&gt;0, $K$2:$K$269), 0) - 1 ) / COUNTIF($K$2:$K$269,"&gt;0")) + 1)</f>
        <v/>
      </c>
    </row>
    <row r="18" spans="1:21" x14ac:dyDescent="0.2">
      <c r="A18" t="s">
        <v>921</v>
      </c>
      <c r="B18" s="2">
        <v>0</v>
      </c>
      <c r="C18" s="2">
        <v>0</v>
      </c>
      <c r="D18" s="2">
        <v>9.5238095238095205E-2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t="str">
        <f>IF(B18=0,"","Q"&amp;INT(4*( RANK(B18, IF($B$2:$B$269&lt;&gt;0, $B$2:$B$269), 0) - 1 ) / COUNTIF($B$2:$B$269,"&gt;0")) + 1)</f>
        <v/>
      </c>
      <c r="M18" t="str">
        <f>IF(C18=0,"","Q"&amp;INT(4*( RANK(C18, IF($C$2:$C$269&lt;&gt;0, $C$2:$C$269), 0) - 1 ) / COUNTIF($C$2:$C$269,"&gt;0")) + 1)</f>
        <v/>
      </c>
      <c r="N18" t="str">
        <f>IF(D18=0,"","Q"&amp;INT(4*( RANK(D18, IF($D$2:$D$269&lt;&gt;0, $D$2:$D$269), 0) - 1 ) / COUNTIF($D$2:$D$269,"&gt;0")) + 1)</f>
        <v>Q3</v>
      </c>
      <c r="O18" t="str">
        <f>IF(E18=0,"","Q"&amp;INT(4*( RANK(E18, IF($E$2:$E$269&lt;&gt;0, $E$2:$E$269), 0) - 1 ) / COUNTIF($E$2:$E$269,"&gt;0")) + 1)</f>
        <v/>
      </c>
      <c r="P18" t="str">
        <f>IF(F18=0,"","Q"&amp;INT(4*( RANK(F18, IF($F$2:$F$269&lt;&gt;0, $F$2:$F$269), 0) - 1 ) / COUNTIF($F$2:$F$269,"&gt;0")) + 1)</f>
        <v/>
      </c>
      <c r="Q18" t="str">
        <f>IF(G18=0,"","Q"&amp;INT(4*( RANK(G18, IF($G$2:$G$269&lt;&gt;0, $G$2:$G$269), 0) - 1 ) / COUNTIF($G$2:$G$269,"&gt;0")) + 1)</f>
        <v/>
      </c>
      <c r="R18" t="str">
        <f>IF(H18=0,"","Q"&amp;INT(4*( RANK(H18, IF($H$2:$H$269&lt;&gt;0, $H$2:$H$269), 0) - 1 ) / COUNTIF($H$2:$H$269,"&gt;0")) + 1)</f>
        <v/>
      </c>
      <c r="S18" t="str">
        <f>IF(I18=0,"","Q"&amp;INT(4*( RANK(I18, IF($I$2:$I$269&lt;&gt;0, $I$2:$I$269), 0) - 1 ) / COUNTIF($I$2:$I$269,"&gt;0")) + 1)</f>
        <v/>
      </c>
      <c r="T18" t="str">
        <f>IF(J18=0,"","Q"&amp;INT(4*( RANK(J18, IF($J$2:$J$269&lt;&gt;0, $J$2:$J$269), 0) - 1 ) / COUNTIF($J$2:$J$269,"&gt;0")) + 1)</f>
        <v/>
      </c>
      <c r="U18" t="str">
        <f>IF(K18=0,"","Q"&amp;INT(4*( RANK(K18, IF($K$2:$K$269&lt;&gt;0, $K$2:$K$269), 0) - 1 ) / COUNTIF($K$2:$K$269,"&gt;0")) + 1)</f>
        <v/>
      </c>
    </row>
    <row r="19" spans="1:21" x14ac:dyDescent="0.2">
      <c r="A19" t="s">
        <v>1033</v>
      </c>
      <c r="B19" s="2">
        <v>0</v>
      </c>
      <c r="C19" s="2">
        <v>0</v>
      </c>
      <c r="D19" s="2">
        <v>0</v>
      </c>
      <c r="E19" s="2">
        <v>8.4033613445378096E-3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t="str">
        <f>IF(B19=0,"","Q"&amp;INT(4*( RANK(B19, IF($B$2:$B$269&lt;&gt;0, $B$2:$B$269), 0) - 1 ) / COUNTIF($B$2:$B$269,"&gt;0")) + 1)</f>
        <v/>
      </c>
      <c r="M19" t="str">
        <f>IF(C19=0,"","Q"&amp;INT(4*( RANK(C19, IF($C$2:$C$269&lt;&gt;0, $C$2:$C$269), 0) - 1 ) / COUNTIF($C$2:$C$269,"&gt;0")) + 1)</f>
        <v/>
      </c>
      <c r="N19" t="str">
        <f>IF(D19=0,"","Q"&amp;INT(4*( RANK(D19, IF($D$2:$D$269&lt;&gt;0, $D$2:$D$269), 0) - 1 ) / COUNTIF($D$2:$D$269,"&gt;0")) + 1)</f>
        <v/>
      </c>
      <c r="O19" t="str">
        <f>IF(E19=0,"","Q"&amp;INT(4*( RANK(E19, IF($E$2:$E$269&lt;&gt;0, $E$2:$E$269), 0) - 1 ) / COUNTIF($E$2:$E$269,"&gt;0")) + 1)</f>
        <v>Q3</v>
      </c>
      <c r="P19" t="str">
        <f>IF(F19=0,"","Q"&amp;INT(4*( RANK(F19, IF($F$2:$F$269&lt;&gt;0, $F$2:$F$269), 0) - 1 ) / COUNTIF($F$2:$F$269,"&gt;0")) + 1)</f>
        <v/>
      </c>
      <c r="Q19" t="str">
        <f>IF(G19=0,"","Q"&amp;INT(4*( RANK(G19, IF($G$2:$G$269&lt;&gt;0, $G$2:$G$269), 0) - 1 ) / COUNTIF($G$2:$G$269,"&gt;0")) + 1)</f>
        <v/>
      </c>
      <c r="R19" t="str">
        <f>IF(H19=0,"","Q"&amp;INT(4*( RANK(H19, IF($H$2:$H$269&lt;&gt;0, $H$2:$H$269), 0) - 1 ) / COUNTIF($H$2:$H$269,"&gt;0")) + 1)</f>
        <v/>
      </c>
      <c r="S19" t="str">
        <f>IF(I19=0,"","Q"&amp;INT(4*( RANK(I19, IF($I$2:$I$269&lt;&gt;0, $I$2:$I$269), 0) - 1 ) / COUNTIF($I$2:$I$269,"&gt;0")) + 1)</f>
        <v/>
      </c>
      <c r="T19" t="str">
        <f>IF(J19=0,"","Q"&amp;INT(4*( RANK(J19, IF($J$2:$J$269&lt;&gt;0, $J$2:$J$269), 0) - 1 ) / COUNTIF($J$2:$J$269,"&gt;0")) + 1)</f>
        <v/>
      </c>
      <c r="U19" t="str">
        <f>IF(K19=0,"","Q"&amp;INT(4*( RANK(K19, IF($K$2:$K$269&lt;&gt;0, $K$2:$K$269), 0) - 1 ) / COUNTIF($K$2:$K$269,"&gt;0")) + 1)</f>
        <v/>
      </c>
    </row>
    <row r="20" spans="1:21" x14ac:dyDescent="0.2">
      <c r="A20" t="s">
        <v>922</v>
      </c>
      <c r="B20" s="2">
        <v>0.2</v>
      </c>
      <c r="C20" s="2">
        <v>0.2</v>
      </c>
      <c r="D20" s="2">
        <v>0</v>
      </c>
      <c r="E20" s="2">
        <v>4.2016806722688996E-3</v>
      </c>
      <c r="F20" s="2">
        <v>0</v>
      </c>
      <c r="G20" s="2">
        <v>0</v>
      </c>
      <c r="H20" s="2">
        <v>0.11111111111111099</v>
      </c>
      <c r="I20" s="2">
        <v>0</v>
      </c>
      <c r="J20" s="2">
        <v>0</v>
      </c>
      <c r="K20" s="2">
        <v>0</v>
      </c>
      <c r="L20" t="str">
        <f>IF(B20=0,"","Q"&amp;INT(4*( RANK(B20, IF($B$2:$B$269&lt;&gt;0, $B$2:$B$269), 0) - 1 ) / COUNTIF($B$2:$B$269,"&gt;0")) + 1)</f>
        <v>Q4</v>
      </c>
      <c r="M20" t="str">
        <f>IF(C20=0,"","Q"&amp;INT(4*( RANK(C20, IF($C$2:$C$269&lt;&gt;0, $C$2:$C$269), 0) - 1 ) / COUNTIF($C$2:$C$269,"&gt;0")) + 1)</f>
        <v>Q3</v>
      </c>
      <c r="N20" t="str">
        <f>IF(D20=0,"","Q"&amp;INT(4*( RANK(D20, IF($D$2:$D$269&lt;&gt;0, $D$2:$D$269), 0) - 1 ) / COUNTIF($D$2:$D$269,"&gt;0")) + 1)</f>
        <v/>
      </c>
      <c r="O20" t="str">
        <f>IF(E20=0,"","Q"&amp;INT(4*( RANK(E20, IF($E$2:$E$269&lt;&gt;0, $E$2:$E$269), 0) - 1 ) / COUNTIF($E$2:$E$269,"&gt;0")) + 1)</f>
        <v>Q4</v>
      </c>
      <c r="P20" t="str">
        <f>IF(F20=0,"","Q"&amp;INT(4*( RANK(F20, IF($F$2:$F$269&lt;&gt;0, $F$2:$F$269), 0) - 1 ) / COUNTIF($F$2:$F$269,"&gt;0")) + 1)</f>
        <v/>
      </c>
      <c r="Q20" t="str">
        <f>IF(G20=0,"","Q"&amp;INT(4*( RANK(G20, IF($G$2:$G$269&lt;&gt;0, $G$2:$G$269), 0) - 1 ) / COUNTIF($G$2:$G$269,"&gt;0")) + 1)</f>
        <v/>
      </c>
      <c r="R20" t="str">
        <f>IF(H20=0,"","Q"&amp;INT(4*( RANK(H20, IF($H$2:$H$269&lt;&gt;0, $H$2:$H$269), 0) - 1 ) / COUNTIF($H$2:$H$269,"&gt;0")) + 1)</f>
        <v>Q4</v>
      </c>
      <c r="S20" t="str">
        <f>IF(I20=0,"","Q"&amp;INT(4*( RANK(I20, IF($I$2:$I$269&lt;&gt;0, $I$2:$I$269), 0) - 1 ) / COUNTIF($I$2:$I$269,"&gt;0")) + 1)</f>
        <v/>
      </c>
      <c r="T20" t="str">
        <f>IF(J20=0,"","Q"&amp;INT(4*( RANK(J20, IF($J$2:$J$269&lt;&gt;0, $J$2:$J$269), 0) - 1 ) / COUNTIF($J$2:$J$269,"&gt;0")) + 1)</f>
        <v/>
      </c>
      <c r="U20" t="str">
        <f>IF(K20=0,"","Q"&amp;INT(4*( RANK(K20, IF($K$2:$K$269&lt;&gt;0, $K$2:$K$269), 0) - 1 ) / COUNTIF($K$2:$K$269,"&gt;0")) + 1)</f>
        <v/>
      </c>
    </row>
    <row r="21" spans="1:21" x14ac:dyDescent="0.2">
      <c r="A21" t="s">
        <v>923</v>
      </c>
      <c r="B21" s="2">
        <v>0</v>
      </c>
      <c r="C21" s="2">
        <v>0</v>
      </c>
      <c r="D21" s="2">
        <v>0</v>
      </c>
      <c r="E21" s="2">
        <v>2.5210084033613401E-2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t="str">
        <f>IF(B21=0,"","Q"&amp;INT(4*( RANK(B21, IF($B$2:$B$269&lt;&gt;0, $B$2:$B$269), 0) - 1 ) / COUNTIF($B$2:$B$269,"&gt;0")) + 1)</f>
        <v/>
      </c>
      <c r="M21" t="str">
        <f>IF(C21=0,"","Q"&amp;INT(4*( RANK(C21, IF($C$2:$C$269&lt;&gt;0, $C$2:$C$269), 0) - 1 ) / COUNTIF($C$2:$C$269,"&gt;0")) + 1)</f>
        <v/>
      </c>
      <c r="N21" t="str">
        <f>IF(D21=0,"","Q"&amp;INT(4*( RANK(D21, IF($D$2:$D$269&lt;&gt;0, $D$2:$D$269), 0) - 1 ) / COUNTIF($D$2:$D$269,"&gt;0")) + 1)</f>
        <v/>
      </c>
      <c r="O21" t="str">
        <f>IF(E21=0,"","Q"&amp;INT(4*( RANK(E21, IF($E$2:$E$269&lt;&gt;0, $E$2:$E$269), 0) - 1 ) / COUNTIF($E$2:$E$269,"&gt;0")) + 1)</f>
        <v>Q1</v>
      </c>
      <c r="P21" t="str">
        <f>IF(F21=0,"","Q"&amp;INT(4*( RANK(F21, IF($F$2:$F$269&lt;&gt;0, $F$2:$F$269), 0) - 1 ) / COUNTIF($F$2:$F$269,"&gt;0")) + 1)</f>
        <v/>
      </c>
      <c r="Q21" t="str">
        <f>IF(G21=0,"","Q"&amp;INT(4*( RANK(G21, IF($G$2:$G$269&lt;&gt;0, $G$2:$G$269), 0) - 1 ) / COUNTIF($G$2:$G$269,"&gt;0")) + 1)</f>
        <v/>
      </c>
      <c r="R21" t="str">
        <f>IF(H21=0,"","Q"&amp;INT(4*( RANK(H21, IF($H$2:$H$269&lt;&gt;0, $H$2:$H$269), 0) - 1 ) / COUNTIF($H$2:$H$269,"&gt;0")) + 1)</f>
        <v/>
      </c>
      <c r="S21" t="str">
        <f>IF(I21=0,"","Q"&amp;INT(4*( RANK(I21, IF($I$2:$I$269&lt;&gt;0, $I$2:$I$269), 0) - 1 ) / COUNTIF($I$2:$I$269,"&gt;0")) + 1)</f>
        <v/>
      </c>
      <c r="T21" t="str">
        <f>IF(J21=0,"","Q"&amp;INT(4*( RANK(J21, IF($J$2:$J$269&lt;&gt;0, $J$2:$J$269), 0) - 1 ) / COUNTIF($J$2:$J$269,"&gt;0")) + 1)</f>
        <v/>
      </c>
      <c r="U21" t="str">
        <f>IF(K21=0,"","Q"&amp;INT(4*( RANK(K21, IF($K$2:$K$269&lt;&gt;0, $K$2:$K$269), 0) - 1 ) / COUNTIF($K$2:$K$269,"&gt;0")) + 1)</f>
        <v/>
      </c>
    </row>
    <row r="22" spans="1:21" x14ac:dyDescent="0.2">
      <c r="A22" t="s">
        <v>81</v>
      </c>
      <c r="B22" s="2">
        <v>0</v>
      </c>
      <c r="C22" s="2">
        <v>0</v>
      </c>
      <c r="D22" s="2">
        <v>0</v>
      </c>
      <c r="E22" s="2">
        <v>4.2016806722689003E-2</v>
      </c>
      <c r="F22" s="2">
        <v>0.115384615384615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t="str">
        <f>IF(B22=0,"","Q"&amp;INT(4*( RANK(B22, IF($B$2:$B$269&lt;&gt;0, $B$2:$B$269), 0) - 1 ) / COUNTIF($B$2:$B$269,"&gt;0")) + 1)</f>
        <v/>
      </c>
      <c r="M22" t="str">
        <f>IF(C22=0,"","Q"&amp;INT(4*( RANK(C22, IF($C$2:$C$269&lt;&gt;0, $C$2:$C$269), 0) - 1 ) / COUNTIF($C$2:$C$269,"&gt;0")) + 1)</f>
        <v/>
      </c>
      <c r="N22" t="str">
        <f>IF(D22=0,"","Q"&amp;INT(4*( RANK(D22, IF($D$2:$D$269&lt;&gt;0, $D$2:$D$269), 0) - 1 ) / COUNTIF($D$2:$D$269,"&gt;0")) + 1)</f>
        <v/>
      </c>
      <c r="O22" t="str">
        <f>IF(E22=0,"","Q"&amp;INT(4*( RANK(E22, IF($E$2:$E$269&lt;&gt;0, $E$2:$E$269), 0) - 1 ) / COUNTIF($E$2:$E$269,"&gt;0")) + 1)</f>
        <v>Q1</v>
      </c>
      <c r="P22" t="str">
        <f>IF(F22=0,"","Q"&amp;INT(4*( RANK(F22, IF($F$2:$F$269&lt;&gt;0, $F$2:$F$269), 0) - 1 ) / COUNTIF($F$2:$F$269,"&gt;0")) + 1)</f>
        <v>Q2</v>
      </c>
      <c r="Q22" t="str">
        <f>IF(G22=0,"","Q"&amp;INT(4*( RANK(G22, IF($G$2:$G$269&lt;&gt;0, $G$2:$G$269), 0) - 1 ) / COUNTIF($G$2:$G$269,"&gt;0")) + 1)</f>
        <v/>
      </c>
      <c r="R22" t="str">
        <f>IF(H22=0,"","Q"&amp;INT(4*( RANK(H22, IF($H$2:$H$269&lt;&gt;0, $H$2:$H$269), 0) - 1 ) / COUNTIF($H$2:$H$269,"&gt;0")) + 1)</f>
        <v/>
      </c>
      <c r="S22" t="str">
        <f>IF(I22=0,"","Q"&amp;INT(4*( RANK(I22, IF($I$2:$I$269&lt;&gt;0, $I$2:$I$269), 0) - 1 ) / COUNTIF($I$2:$I$269,"&gt;0")) + 1)</f>
        <v/>
      </c>
      <c r="T22" t="str">
        <f>IF(J22=0,"","Q"&amp;INT(4*( RANK(J22, IF($J$2:$J$269&lt;&gt;0, $J$2:$J$269), 0) - 1 ) / COUNTIF($J$2:$J$269,"&gt;0")) + 1)</f>
        <v/>
      </c>
      <c r="U22" t="str">
        <f>IF(K22=0,"","Q"&amp;INT(4*( RANK(K22, IF($K$2:$K$269&lt;&gt;0, $K$2:$K$269), 0) - 1 ) / COUNTIF($K$2:$K$269,"&gt;0")) + 1)</f>
        <v/>
      </c>
    </row>
    <row r="23" spans="1:21" x14ac:dyDescent="0.2">
      <c r="A23" t="s">
        <v>924</v>
      </c>
      <c r="B23" s="2">
        <v>0</v>
      </c>
      <c r="C23" s="2">
        <v>0</v>
      </c>
      <c r="D23" s="2">
        <v>0</v>
      </c>
      <c r="E23" s="2">
        <v>1.26050420168067E-2</v>
      </c>
      <c r="F23" s="2">
        <v>3.8461538461538401E-2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t="str">
        <f>IF(B23=0,"","Q"&amp;INT(4*( RANK(B23, IF($B$2:$B$269&lt;&gt;0, $B$2:$B$269), 0) - 1 ) / COUNTIF($B$2:$B$269,"&gt;0")) + 1)</f>
        <v/>
      </c>
      <c r="M23" t="str">
        <f>IF(C23=0,"","Q"&amp;INT(4*( RANK(C23, IF($C$2:$C$269&lt;&gt;0, $C$2:$C$269), 0) - 1 ) / COUNTIF($C$2:$C$269,"&gt;0")) + 1)</f>
        <v/>
      </c>
      <c r="N23" t="str">
        <f>IF(D23=0,"","Q"&amp;INT(4*( RANK(D23, IF($D$2:$D$269&lt;&gt;0, $D$2:$D$269), 0) - 1 ) / COUNTIF($D$2:$D$269,"&gt;0")) + 1)</f>
        <v/>
      </c>
      <c r="O23" t="str">
        <f>IF(E23=0,"","Q"&amp;INT(4*( RANK(E23, IF($E$2:$E$269&lt;&gt;0, $E$2:$E$269), 0) - 1 ) / COUNTIF($E$2:$E$269,"&gt;0")) + 1)</f>
        <v>Q2</v>
      </c>
      <c r="P23" t="str">
        <f>IF(F23=0,"","Q"&amp;INT(4*( RANK(F23, IF($F$2:$F$269&lt;&gt;0, $F$2:$F$269), 0) - 1 ) / COUNTIF($F$2:$F$269,"&gt;0")) + 1)</f>
        <v>Q4</v>
      </c>
      <c r="Q23" t="str">
        <f>IF(G23=0,"","Q"&amp;INT(4*( RANK(G23, IF($G$2:$G$269&lt;&gt;0, $G$2:$G$269), 0) - 1 ) / COUNTIF($G$2:$G$269,"&gt;0")) + 1)</f>
        <v/>
      </c>
      <c r="R23" t="str">
        <f>IF(H23=0,"","Q"&amp;INT(4*( RANK(H23, IF($H$2:$H$269&lt;&gt;0, $H$2:$H$269), 0) - 1 ) / COUNTIF($H$2:$H$269,"&gt;0")) + 1)</f>
        <v/>
      </c>
      <c r="S23" t="str">
        <f>IF(I23=0,"","Q"&amp;INT(4*( RANK(I23, IF($I$2:$I$269&lt;&gt;0, $I$2:$I$269), 0) - 1 ) / COUNTIF($I$2:$I$269,"&gt;0")) + 1)</f>
        <v/>
      </c>
      <c r="T23" t="str">
        <f>IF(J23=0,"","Q"&amp;INT(4*( RANK(J23, IF($J$2:$J$269&lt;&gt;0, $J$2:$J$269), 0) - 1 ) / COUNTIF($J$2:$J$269,"&gt;0")) + 1)</f>
        <v/>
      </c>
      <c r="U23" t="str">
        <f>IF(K23=0,"","Q"&amp;INT(4*( RANK(K23, IF($K$2:$K$269&lt;&gt;0, $K$2:$K$269), 0) - 1 ) / COUNTIF($K$2:$K$269,"&gt;0")) + 1)</f>
        <v/>
      </c>
    </row>
    <row r="24" spans="1:21" x14ac:dyDescent="0.2">
      <c r="A24" t="s">
        <v>925</v>
      </c>
      <c r="B24" s="2">
        <v>0</v>
      </c>
      <c r="C24" s="2">
        <v>0</v>
      </c>
      <c r="D24" s="2">
        <v>0</v>
      </c>
      <c r="E24" s="2">
        <v>1.6806722689075598E-2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t="str">
        <f>IF(B24=0,"","Q"&amp;INT(4*( RANK(B24, IF($B$2:$B$269&lt;&gt;0, $B$2:$B$269), 0) - 1 ) / COUNTIF($B$2:$B$269,"&gt;0")) + 1)</f>
        <v/>
      </c>
      <c r="M24" t="str">
        <f>IF(C24=0,"","Q"&amp;INT(4*( RANK(C24, IF($C$2:$C$269&lt;&gt;0, $C$2:$C$269), 0) - 1 ) / COUNTIF($C$2:$C$269,"&gt;0")) + 1)</f>
        <v/>
      </c>
      <c r="N24" t="str">
        <f>IF(D24=0,"","Q"&amp;INT(4*( RANK(D24, IF($D$2:$D$269&lt;&gt;0, $D$2:$D$269), 0) - 1 ) / COUNTIF($D$2:$D$269,"&gt;0")) + 1)</f>
        <v/>
      </c>
      <c r="O24" t="str">
        <f>IF(E24=0,"","Q"&amp;INT(4*( RANK(E24, IF($E$2:$E$269&lt;&gt;0, $E$2:$E$269), 0) - 1 ) / COUNTIF($E$2:$E$269,"&gt;0")) + 1)</f>
        <v>Q2</v>
      </c>
      <c r="P24" t="str">
        <f>IF(F24=0,"","Q"&amp;INT(4*( RANK(F24, IF($F$2:$F$269&lt;&gt;0, $F$2:$F$269), 0) - 1 ) / COUNTIF($F$2:$F$269,"&gt;0")) + 1)</f>
        <v/>
      </c>
      <c r="Q24" t="str">
        <f>IF(G24=0,"","Q"&amp;INT(4*( RANK(G24, IF($G$2:$G$269&lt;&gt;0, $G$2:$G$269), 0) - 1 ) / COUNTIF($G$2:$G$269,"&gt;0")) + 1)</f>
        <v/>
      </c>
      <c r="R24" t="str">
        <f>IF(H24=0,"","Q"&amp;INT(4*( RANK(H24, IF($H$2:$H$269&lt;&gt;0, $H$2:$H$269), 0) - 1 ) / COUNTIF($H$2:$H$269,"&gt;0")) + 1)</f>
        <v/>
      </c>
      <c r="S24" t="str">
        <f>IF(I24=0,"","Q"&amp;INT(4*( RANK(I24, IF($I$2:$I$269&lt;&gt;0, $I$2:$I$269), 0) - 1 ) / COUNTIF($I$2:$I$269,"&gt;0")) + 1)</f>
        <v/>
      </c>
      <c r="T24" t="str">
        <f>IF(J24=0,"","Q"&amp;INT(4*( RANK(J24, IF($J$2:$J$269&lt;&gt;0, $J$2:$J$269), 0) - 1 ) / COUNTIF($J$2:$J$269,"&gt;0")) + 1)</f>
        <v/>
      </c>
      <c r="U24" t="str">
        <f>IF(K24=0,"","Q"&amp;INT(4*( RANK(K24, IF($K$2:$K$269&lt;&gt;0, $K$2:$K$269), 0) - 1 ) / COUNTIF($K$2:$K$269,"&gt;0")) + 1)</f>
        <v/>
      </c>
    </row>
    <row r="25" spans="1:21" x14ac:dyDescent="0.2">
      <c r="A25" t="s">
        <v>1034</v>
      </c>
      <c r="B25" s="2">
        <v>0</v>
      </c>
      <c r="C25" s="2">
        <v>0</v>
      </c>
      <c r="D25" s="2">
        <v>0</v>
      </c>
      <c r="E25" s="2">
        <v>8.4033613445378096E-3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t="str">
        <f>IF(B25=0,"","Q"&amp;INT(4*( RANK(B25, IF($B$2:$B$269&lt;&gt;0, $B$2:$B$269), 0) - 1 ) / COUNTIF($B$2:$B$269,"&gt;0")) + 1)</f>
        <v/>
      </c>
      <c r="M25" t="str">
        <f>IF(C25=0,"","Q"&amp;INT(4*( RANK(C25, IF($C$2:$C$269&lt;&gt;0, $C$2:$C$269), 0) - 1 ) / COUNTIF($C$2:$C$269,"&gt;0")) + 1)</f>
        <v/>
      </c>
      <c r="N25" t="str">
        <f>IF(D25=0,"","Q"&amp;INT(4*( RANK(D25, IF($D$2:$D$269&lt;&gt;0, $D$2:$D$269), 0) - 1 ) / COUNTIF($D$2:$D$269,"&gt;0")) + 1)</f>
        <v/>
      </c>
      <c r="O25" t="str">
        <f>IF(E25=0,"","Q"&amp;INT(4*( RANK(E25, IF($E$2:$E$269&lt;&gt;0, $E$2:$E$269), 0) - 1 ) / COUNTIF($E$2:$E$269,"&gt;0")) + 1)</f>
        <v>Q3</v>
      </c>
      <c r="P25" t="str">
        <f>IF(F25=0,"","Q"&amp;INT(4*( RANK(F25, IF($F$2:$F$269&lt;&gt;0, $F$2:$F$269), 0) - 1 ) / COUNTIF($F$2:$F$269,"&gt;0")) + 1)</f>
        <v/>
      </c>
      <c r="Q25" t="str">
        <f>IF(G25=0,"","Q"&amp;INT(4*( RANK(G25, IF($G$2:$G$269&lt;&gt;0, $G$2:$G$269), 0) - 1 ) / COUNTIF($G$2:$G$269,"&gt;0")) + 1)</f>
        <v/>
      </c>
      <c r="R25" t="str">
        <f>IF(H25=0,"","Q"&amp;INT(4*( RANK(H25, IF($H$2:$H$269&lt;&gt;0, $H$2:$H$269), 0) - 1 ) / COUNTIF($H$2:$H$269,"&gt;0")) + 1)</f>
        <v/>
      </c>
      <c r="S25" t="str">
        <f>IF(I25=0,"","Q"&amp;INT(4*( RANK(I25, IF($I$2:$I$269&lt;&gt;0, $I$2:$I$269), 0) - 1 ) / COUNTIF($I$2:$I$269,"&gt;0")) + 1)</f>
        <v/>
      </c>
      <c r="T25" t="str">
        <f>IF(J25=0,"","Q"&amp;INT(4*( RANK(J25, IF($J$2:$J$269&lt;&gt;0, $J$2:$J$269), 0) - 1 ) / COUNTIF($J$2:$J$269,"&gt;0")) + 1)</f>
        <v/>
      </c>
      <c r="U25" t="str">
        <f>IF(K25=0,"","Q"&amp;INT(4*( RANK(K25, IF($K$2:$K$269&lt;&gt;0, $K$2:$K$269), 0) - 1 ) / COUNTIF($K$2:$K$269,"&gt;0")) + 1)</f>
        <v/>
      </c>
    </row>
    <row r="26" spans="1:21" x14ac:dyDescent="0.2">
      <c r="A26" t="s">
        <v>1035</v>
      </c>
      <c r="B26" s="2">
        <v>0</v>
      </c>
      <c r="C26" s="2">
        <v>0</v>
      </c>
      <c r="D26" s="2">
        <v>0.14285714285714199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t="str">
        <f>IF(B26=0,"","Q"&amp;INT(4*( RANK(B26, IF($B$2:$B$269&lt;&gt;0, $B$2:$B$269), 0) - 1 ) / COUNTIF($B$2:$B$269,"&gt;0")) + 1)</f>
        <v/>
      </c>
      <c r="M26" t="str">
        <f>IF(C26=0,"","Q"&amp;INT(4*( RANK(C26, IF($C$2:$C$269&lt;&gt;0, $C$2:$C$269), 0) - 1 ) / COUNTIF($C$2:$C$269,"&gt;0")) + 1)</f>
        <v/>
      </c>
      <c r="N26" t="str">
        <f>IF(D26=0,"","Q"&amp;INT(4*( RANK(D26, IF($D$2:$D$269&lt;&gt;0, $D$2:$D$269), 0) - 1 ) / COUNTIF($D$2:$D$269,"&gt;0")) + 1)</f>
        <v>Q3</v>
      </c>
      <c r="O26" t="str">
        <f>IF(E26=0,"","Q"&amp;INT(4*( RANK(E26, IF($E$2:$E$269&lt;&gt;0, $E$2:$E$269), 0) - 1 ) / COUNTIF($E$2:$E$269,"&gt;0")) + 1)</f>
        <v/>
      </c>
      <c r="P26" t="str">
        <f>IF(F26=0,"","Q"&amp;INT(4*( RANK(F26, IF($F$2:$F$269&lt;&gt;0, $F$2:$F$269), 0) - 1 ) / COUNTIF($F$2:$F$269,"&gt;0")) + 1)</f>
        <v/>
      </c>
      <c r="Q26" t="str">
        <f>IF(G26=0,"","Q"&amp;INT(4*( RANK(G26, IF($G$2:$G$269&lt;&gt;0, $G$2:$G$269), 0) - 1 ) / COUNTIF($G$2:$G$269,"&gt;0")) + 1)</f>
        <v/>
      </c>
      <c r="R26" t="str">
        <f>IF(H26=0,"","Q"&amp;INT(4*( RANK(H26, IF($H$2:$H$269&lt;&gt;0, $H$2:$H$269), 0) - 1 ) / COUNTIF($H$2:$H$269,"&gt;0")) + 1)</f>
        <v/>
      </c>
      <c r="S26" t="str">
        <f>IF(I26=0,"","Q"&amp;INT(4*( RANK(I26, IF($I$2:$I$269&lt;&gt;0, $I$2:$I$269), 0) - 1 ) / COUNTIF($I$2:$I$269,"&gt;0")) + 1)</f>
        <v/>
      </c>
      <c r="T26" t="str">
        <f>IF(J26=0,"","Q"&amp;INT(4*( RANK(J26, IF($J$2:$J$269&lt;&gt;0, $J$2:$J$269), 0) - 1 ) / COUNTIF($J$2:$J$269,"&gt;0")) + 1)</f>
        <v/>
      </c>
      <c r="U26" t="str">
        <f>IF(K26=0,"","Q"&amp;INT(4*( RANK(K26, IF($K$2:$K$269&lt;&gt;0, $K$2:$K$269), 0) - 1 ) / COUNTIF($K$2:$K$269,"&gt;0")) + 1)</f>
        <v/>
      </c>
    </row>
    <row r="27" spans="1:21" x14ac:dyDescent="0.2">
      <c r="A27" t="s">
        <v>926</v>
      </c>
      <c r="B27" s="2">
        <v>0</v>
      </c>
      <c r="C27" s="2">
        <v>0</v>
      </c>
      <c r="D27" s="2">
        <v>0</v>
      </c>
      <c r="E27" s="2">
        <v>4.2016806722688996E-3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t="str">
        <f>IF(B27=0,"","Q"&amp;INT(4*( RANK(B27, IF($B$2:$B$269&lt;&gt;0, $B$2:$B$269), 0) - 1 ) / COUNTIF($B$2:$B$269,"&gt;0")) + 1)</f>
        <v/>
      </c>
      <c r="M27" t="str">
        <f>IF(C27=0,"","Q"&amp;INT(4*( RANK(C27, IF($C$2:$C$269&lt;&gt;0, $C$2:$C$269), 0) - 1 ) / COUNTIF($C$2:$C$269,"&gt;0")) + 1)</f>
        <v/>
      </c>
      <c r="N27" t="str">
        <f>IF(D27=0,"","Q"&amp;INT(4*( RANK(D27, IF($D$2:$D$269&lt;&gt;0, $D$2:$D$269), 0) - 1 ) / COUNTIF($D$2:$D$269,"&gt;0")) + 1)</f>
        <v/>
      </c>
      <c r="O27" t="str">
        <f>IF(E27=0,"","Q"&amp;INT(4*( RANK(E27, IF($E$2:$E$269&lt;&gt;0, $E$2:$E$269), 0) - 1 ) / COUNTIF($E$2:$E$269,"&gt;0")) + 1)</f>
        <v>Q4</v>
      </c>
      <c r="P27" t="str">
        <f>IF(F27=0,"","Q"&amp;INT(4*( RANK(F27, IF($F$2:$F$269&lt;&gt;0, $F$2:$F$269), 0) - 1 ) / COUNTIF($F$2:$F$269,"&gt;0")) + 1)</f>
        <v/>
      </c>
      <c r="Q27" t="str">
        <f>IF(G27=0,"","Q"&amp;INT(4*( RANK(G27, IF($G$2:$G$269&lt;&gt;0, $G$2:$G$269), 0) - 1 ) / COUNTIF($G$2:$G$269,"&gt;0")) + 1)</f>
        <v/>
      </c>
      <c r="R27" t="str">
        <f>IF(H27=0,"","Q"&amp;INT(4*( RANK(H27, IF($H$2:$H$269&lt;&gt;0, $H$2:$H$269), 0) - 1 ) / COUNTIF($H$2:$H$269,"&gt;0")) + 1)</f>
        <v/>
      </c>
      <c r="S27" t="str">
        <f>IF(I27=0,"","Q"&amp;INT(4*( RANK(I27, IF($I$2:$I$269&lt;&gt;0, $I$2:$I$269), 0) - 1 ) / COUNTIF($I$2:$I$269,"&gt;0")) + 1)</f>
        <v/>
      </c>
      <c r="T27" t="str">
        <f>IF(J27=0,"","Q"&amp;INT(4*( RANK(J27, IF($J$2:$J$269&lt;&gt;0, $J$2:$J$269), 0) - 1 ) / COUNTIF($J$2:$J$269,"&gt;0")) + 1)</f>
        <v/>
      </c>
      <c r="U27" t="str">
        <f>IF(K27=0,"","Q"&amp;INT(4*( RANK(K27, IF($K$2:$K$269&lt;&gt;0, $K$2:$K$269), 0) - 1 ) / COUNTIF($K$2:$K$269,"&gt;0")) + 1)</f>
        <v/>
      </c>
    </row>
    <row r="28" spans="1:21" x14ac:dyDescent="0.2">
      <c r="A28" t="s">
        <v>927</v>
      </c>
      <c r="B28" s="2">
        <v>0</v>
      </c>
      <c r="C28" s="2">
        <v>0</v>
      </c>
      <c r="D28" s="2">
        <v>0</v>
      </c>
      <c r="E28" s="2">
        <v>1.26050420168067E-2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t="str">
        <f>IF(B28=0,"","Q"&amp;INT(4*( RANK(B28, IF($B$2:$B$269&lt;&gt;0, $B$2:$B$269), 0) - 1 ) / COUNTIF($B$2:$B$269,"&gt;0")) + 1)</f>
        <v/>
      </c>
      <c r="M28" t="str">
        <f>IF(C28=0,"","Q"&amp;INT(4*( RANK(C28, IF($C$2:$C$269&lt;&gt;0, $C$2:$C$269), 0) - 1 ) / COUNTIF($C$2:$C$269,"&gt;0")) + 1)</f>
        <v/>
      </c>
      <c r="N28" t="str">
        <f>IF(D28=0,"","Q"&amp;INT(4*( RANK(D28, IF($D$2:$D$269&lt;&gt;0, $D$2:$D$269), 0) - 1 ) / COUNTIF($D$2:$D$269,"&gt;0")) + 1)</f>
        <v/>
      </c>
      <c r="O28" t="str">
        <f>IF(E28=0,"","Q"&amp;INT(4*( RANK(E28, IF($E$2:$E$269&lt;&gt;0, $E$2:$E$269), 0) - 1 ) / COUNTIF($E$2:$E$269,"&gt;0")) + 1)</f>
        <v>Q2</v>
      </c>
      <c r="P28" t="str">
        <f>IF(F28=0,"","Q"&amp;INT(4*( RANK(F28, IF($F$2:$F$269&lt;&gt;0, $F$2:$F$269), 0) - 1 ) / COUNTIF($F$2:$F$269,"&gt;0")) + 1)</f>
        <v/>
      </c>
      <c r="Q28" t="str">
        <f>IF(G28=0,"","Q"&amp;INT(4*( RANK(G28, IF($G$2:$G$269&lt;&gt;0, $G$2:$G$269), 0) - 1 ) / COUNTIF($G$2:$G$269,"&gt;0")) + 1)</f>
        <v/>
      </c>
      <c r="R28" t="str">
        <f>IF(H28=0,"","Q"&amp;INT(4*( RANK(H28, IF($H$2:$H$269&lt;&gt;0, $H$2:$H$269), 0) - 1 ) / COUNTIF($H$2:$H$269,"&gt;0")) + 1)</f>
        <v/>
      </c>
      <c r="S28" t="str">
        <f>IF(I28=0,"","Q"&amp;INT(4*( RANK(I28, IF($I$2:$I$269&lt;&gt;0, $I$2:$I$269), 0) - 1 ) / COUNTIF($I$2:$I$269,"&gt;0")) + 1)</f>
        <v/>
      </c>
      <c r="T28" t="str">
        <f>IF(J28=0,"","Q"&amp;INT(4*( RANK(J28, IF($J$2:$J$269&lt;&gt;0, $J$2:$J$269), 0) - 1 ) / COUNTIF($J$2:$J$269,"&gt;0")) + 1)</f>
        <v/>
      </c>
      <c r="U28" t="str">
        <f>IF(K28=0,"","Q"&amp;INT(4*( RANK(K28, IF($K$2:$K$269&lt;&gt;0, $K$2:$K$269), 0) - 1 ) / COUNTIF($K$2:$K$269,"&gt;0")) + 1)</f>
        <v/>
      </c>
    </row>
    <row r="29" spans="1:21" x14ac:dyDescent="0.2">
      <c r="A29" s="8" t="s">
        <v>89</v>
      </c>
      <c r="B29" s="2">
        <v>0</v>
      </c>
      <c r="C29" s="2">
        <v>0</v>
      </c>
      <c r="D29" s="2">
        <v>0</v>
      </c>
      <c r="E29" s="2">
        <v>3.3613445378151197E-2</v>
      </c>
      <c r="F29" s="2">
        <v>0</v>
      </c>
      <c r="G29" s="2">
        <v>0</v>
      </c>
      <c r="H29" s="2">
        <v>0</v>
      </c>
      <c r="I29" s="2">
        <v>0</v>
      </c>
      <c r="J29" s="2">
        <v>0.72099999999999997</v>
      </c>
      <c r="K29" s="2">
        <v>0</v>
      </c>
      <c r="L29" t="str">
        <f>IF(B29=0,"","Q"&amp;INT(4*( RANK(B29, IF($B$2:$B$269&lt;&gt;0, $B$2:$B$269), 0) - 1 ) / COUNTIF($B$2:$B$269,"&gt;0")) + 1)</f>
        <v/>
      </c>
      <c r="M29" t="str">
        <f>IF(C29=0,"","Q"&amp;INT(4*( RANK(C29, IF($C$2:$C$269&lt;&gt;0, $C$2:$C$269), 0) - 1 ) / COUNTIF($C$2:$C$269,"&gt;0")) + 1)</f>
        <v/>
      </c>
      <c r="N29" t="str">
        <f>IF(D29=0,"","Q"&amp;INT(4*( RANK(D29, IF($D$2:$D$269&lt;&gt;0, $D$2:$D$269), 0) - 1 ) / COUNTIF($D$2:$D$269,"&gt;0")) + 1)</f>
        <v/>
      </c>
      <c r="O29" t="str">
        <f>IF(E29=0,"","Q"&amp;INT(4*( RANK(E29, IF($E$2:$E$269&lt;&gt;0, $E$2:$E$269), 0) - 1 ) / COUNTIF($E$2:$E$269,"&gt;0")) + 1)</f>
        <v>Q1</v>
      </c>
      <c r="P29" t="str">
        <f>IF(F29=0,"","Q"&amp;INT(4*( RANK(F29, IF($F$2:$F$269&lt;&gt;0, $F$2:$F$269), 0) - 1 ) / COUNTIF($F$2:$F$269,"&gt;0")) + 1)</f>
        <v/>
      </c>
      <c r="Q29" t="str">
        <f>IF(G29=0,"","Q"&amp;INT(4*( RANK(G29, IF($G$2:$G$269&lt;&gt;0, $G$2:$G$269), 0) - 1 ) / COUNTIF($G$2:$G$269,"&gt;0")) + 1)</f>
        <v/>
      </c>
      <c r="R29" t="str">
        <f>IF(H29=0,"","Q"&amp;INT(4*( RANK(H29, IF($H$2:$H$269&lt;&gt;0, $H$2:$H$269), 0) - 1 ) / COUNTIF($H$2:$H$269,"&gt;0")) + 1)</f>
        <v/>
      </c>
      <c r="S29" t="str">
        <f>IF(I29=0,"","Q"&amp;INT(4*( RANK(I29, IF($I$2:$I$269&lt;&gt;0, $I$2:$I$269), 0) - 1 ) / COUNTIF($I$2:$I$269,"&gt;0")) + 1)</f>
        <v/>
      </c>
      <c r="T29" t="str">
        <f>IF(J29=0,"","Q"&amp;INT(4*( RANK(J29, IF($J$2:$J$269&lt;&gt;0, $J$2:$J$269), 0) - 1 ) / COUNTIF($J$2:$J$269,"&gt;0")) + 1)</f>
        <v>Q1</v>
      </c>
      <c r="U29" t="str">
        <f>IF(K29=0,"","Q"&amp;INT(4*( RANK(K29, IF($K$2:$K$269&lt;&gt;0, $K$2:$K$269), 0) - 1 ) / COUNTIF($K$2:$K$269,"&gt;0")) + 1)</f>
        <v/>
      </c>
    </row>
    <row r="30" spans="1:21" x14ac:dyDescent="0.2">
      <c r="A30" t="s">
        <v>928</v>
      </c>
      <c r="B30" s="2">
        <v>0</v>
      </c>
      <c r="C30" s="2">
        <v>0</v>
      </c>
      <c r="D30" s="2">
        <v>0</v>
      </c>
      <c r="E30" s="2">
        <v>1.26050420168067E-2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t="str">
        <f>IF(B30=0,"","Q"&amp;INT(4*( RANK(B30, IF($B$2:$B$269&lt;&gt;0, $B$2:$B$269), 0) - 1 ) / COUNTIF($B$2:$B$269,"&gt;0")) + 1)</f>
        <v/>
      </c>
      <c r="M30" t="str">
        <f>IF(C30=0,"","Q"&amp;INT(4*( RANK(C30, IF($C$2:$C$269&lt;&gt;0, $C$2:$C$269), 0) - 1 ) / COUNTIF($C$2:$C$269,"&gt;0")) + 1)</f>
        <v/>
      </c>
      <c r="N30" t="str">
        <f>IF(D30=0,"","Q"&amp;INT(4*( RANK(D30, IF($D$2:$D$269&lt;&gt;0, $D$2:$D$269), 0) - 1 ) / COUNTIF($D$2:$D$269,"&gt;0")) + 1)</f>
        <v/>
      </c>
      <c r="O30" t="str">
        <f>IF(E30=0,"","Q"&amp;INT(4*( RANK(E30, IF($E$2:$E$269&lt;&gt;0, $E$2:$E$269), 0) - 1 ) / COUNTIF($E$2:$E$269,"&gt;0")) + 1)</f>
        <v>Q2</v>
      </c>
      <c r="P30" t="str">
        <f>IF(F30=0,"","Q"&amp;INT(4*( RANK(F30, IF($F$2:$F$269&lt;&gt;0, $F$2:$F$269), 0) - 1 ) / COUNTIF($F$2:$F$269,"&gt;0")) + 1)</f>
        <v/>
      </c>
      <c r="Q30" t="str">
        <f>IF(G30=0,"","Q"&amp;INT(4*( RANK(G30, IF($G$2:$G$269&lt;&gt;0, $G$2:$G$269), 0) - 1 ) / COUNTIF($G$2:$G$269,"&gt;0")) + 1)</f>
        <v/>
      </c>
      <c r="R30" t="str">
        <f>IF(H30=0,"","Q"&amp;INT(4*( RANK(H30, IF($H$2:$H$269&lt;&gt;0, $H$2:$H$269), 0) - 1 ) / COUNTIF($H$2:$H$269,"&gt;0")) + 1)</f>
        <v/>
      </c>
      <c r="S30" t="str">
        <f>IF(I30=0,"","Q"&amp;INT(4*( RANK(I30, IF($I$2:$I$269&lt;&gt;0, $I$2:$I$269), 0) - 1 ) / COUNTIF($I$2:$I$269,"&gt;0")) + 1)</f>
        <v/>
      </c>
      <c r="T30" t="str">
        <f>IF(J30=0,"","Q"&amp;INT(4*( RANK(J30, IF($J$2:$J$269&lt;&gt;0, $J$2:$J$269), 0) - 1 ) / COUNTIF($J$2:$J$269,"&gt;0")) + 1)</f>
        <v/>
      </c>
      <c r="U30" t="str">
        <f>IF(K30=0,"","Q"&amp;INT(4*( RANK(K30, IF($K$2:$K$269&lt;&gt;0, $K$2:$K$269), 0) - 1 ) / COUNTIF($K$2:$K$269,"&gt;0")) + 1)</f>
        <v/>
      </c>
    </row>
    <row r="31" spans="1:21" x14ac:dyDescent="0.2">
      <c r="A31" t="s">
        <v>929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0.17647058823529399</v>
      </c>
      <c r="L31" t="str">
        <f>IF(B31=0,"","Q"&amp;INT(4*( RANK(B31, IF($B$2:$B$269&lt;&gt;0, $B$2:$B$269), 0) - 1 ) / COUNTIF($B$2:$B$269,"&gt;0")) + 1)</f>
        <v/>
      </c>
      <c r="M31" t="str">
        <f>IF(C31=0,"","Q"&amp;INT(4*( RANK(C31, IF($C$2:$C$269&lt;&gt;0, $C$2:$C$269), 0) - 1 ) / COUNTIF($C$2:$C$269,"&gt;0")) + 1)</f>
        <v/>
      </c>
      <c r="N31" t="str">
        <f>IF(D31=0,"","Q"&amp;INT(4*( RANK(D31, IF($D$2:$D$269&lt;&gt;0, $D$2:$D$269), 0) - 1 ) / COUNTIF($D$2:$D$269,"&gt;0")) + 1)</f>
        <v/>
      </c>
      <c r="O31" t="str">
        <f>IF(E31=0,"","Q"&amp;INT(4*( RANK(E31, IF($E$2:$E$269&lt;&gt;0, $E$2:$E$269), 0) - 1 ) / COUNTIF($E$2:$E$269,"&gt;0")) + 1)</f>
        <v/>
      </c>
      <c r="P31" t="str">
        <f>IF(F31=0,"","Q"&amp;INT(4*( RANK(F31, IF($F$2:$F$269&lt;&gt;0, $F$2:$F$269), 0) - 1 ) / COUNTIF($F$2:$F$269,"&gt;0")) + 1)</f>
        <v/>
      </c>
      <c r="Q31" t="str">
        <f>IF(G31=0,"","Q"&amp;INT(4*( RANK(G31, IF($G$2:$G$269&lt;&gt;0, $G$2:$G$269), 0) - 1 ) / COUNTIF($G$2:$G$269,"&gt;0")) + 1)</f>
        <v/>
      </c>
      <c r="R31" t="str">
        <f>IF(H31=0,"","Q"&amp;INT(4*( RANK(H31, IF($H$2:$H$269&lt;&gt;0, $H$2:$H$269), 0) - 1 ) / COUNTIF($H$2:$H$269,"&gt;0")) + 1)</f>
        <v/>
      </c>
      <c r="S31" t="str">
        <f>IF(I31=0,"","Q"&amp;INT(4*( RANK(I31, IF($I$2:$I$269&lt;&gt;0, $I$2:$I$269), 0) - 1 ) / COUNTIF($I$2:$I$269,"&gt;0")) + 1)</f>
        <v/>
      </c>
      <c r="T31" t="str">
        <f>IF(J31=0,"","Q"&amp;INT(4*( RANK(J31, IF($J$2:$J$269&lt;&gt;0, $J$2:$J$269), 0) - 1 ) / COUNTIF($J$2:$J$269,"&gt;0")) + 1)</f>
        <v/>
      </c>
      <c r="U31" t="str">
        <f>IF(K31=0,"","Q"&amp;INT(4*( RANK(K31, IF($K$2:$K$269&lt;&gt;0, $K$2:$K$269), 0) - 1 ) / COUNTIF($K$2:$K$269,"&gt;0")) + 1)</f>
        <v>Q2</v>
      </c>
    </row>
    <row r="32" spans="1:21" x14ac:dyDescent="0.2">
      <c r="A32" t="s">
        <v>930</v>
      </c>
      <c r="B32" s="2">
        <v>0</v>
      </c>
      <c r="C32" s="2">
        <v>0</v>
      </c>
      <c r="D32" s="2">
        <v>0</v>
      </c>
      <c r="E32" s="2">
        <v>3.7815126050420103E-2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t="str">
        <f>IF(B32=0,"","Q"&amp;INT(4*( RANK(B32, IF($B$2:$B$269&lt;&gt;0, $B$2:$B$269), 0) - 1 ) / COUNTIF($B$2:$B$269,"&gt;0")) + 1)</f>
        <v/>
      </c>
      <c r="M32" t="str">
        <f>IF(C32=0,"","Q"&amp;INT(4*( RANK(C32, IF($C$2:$C$269&lt;&gt;0, $C$2:$C$269), 0) - 1 ) / COUNTIF($C$2:$C$269,"&gt;0")) + 1)</f>
        <v/>
      </c>
      <c r="N32" t="str">
        <f>IF(D32=0,"","Q"&amp;INT(4*( RANK(D32, IF($D$2:$D$269&lt;&gt;0, $D$2:$D$269), 0) - 1 ) / COUNTIF($D$2:$D$269,"&gt;0")) + 1)</f>
        <v/>
      </c>
      <c r="O32" t="str">
        <f>IF(E32=0,"","Q"&amp;INT(4*( RANK(E32, IF($E$2:$E$269&lt;&gt;0, $E$2:$E$269), 0) - 1 ) / COUNTIF($E$2:$E$269,"&gt;0")) + 1)</f>
        <v>Q1</v>
      </c>
      <c r="P32" t="str">
        <f>IF(F32=0,"","Q"&amp;INT(4*( RANK(F32, IF($F$2:$F$269&lt;&gt;0, $F$2:$F$269), 0) - 1 ) / COUNTIF($F$2:$F$269,"&gt;0")) + 1)</f>
        <v/>
      </c>
      <c r="Q32" t="str">
        <f>IF(G32=0,"","Q"&amp;INT(4*( RANK(G32, IF($G$2:$G$269&lt;&gt;0, $G$2:$G$269), 0) - 1 ) / COUNTIF($G$2:$G$269,"&gt;0")) + 1)</f>
        <v/>
      </c>
      <c r="R32" t="str">
        <f>IF(H32=0,"","Q"&amp;INT(4*( RANK(H32, IF($H$2:$H$269&lt;&gt;0, $H$2:$H$269), 0) - 1 ) / COUNTIF($H$2:$H$269,"&gt;0")) + 1)</f>
        <v/>
      </c>
      <c r="S32" t="str">
        <f>IF(I32=0,"","Q"&amp;INT(4*( RANK(I32, IF($I$2:$I$269&lt;&gt;0, $I$2:$I$269), 0) - 1 ) / COUNTIF($I$2:$I$269,"&gt;0")) + 1)</f>
        <v/>
      </c>
      <c r="T32" t="str">
        <f>IF(J32=0,"","Q"&amp;INT(4*( RANK(J32, IF($J$2:$J$269&lt;&gt;0, $J$2:$J$269), 0) - 1 ) / COUNTIF($J$2:$J$269,"&gt;0")) + 1)</f>
        <v/>
      </c>
      <c r="U32" t="str">
        <f>IF(K32=0,"","Q"&amp;INT(4*( RANK(K32, IF($K$2:$K$269&lt;&gt;0, $K$2:$K$269), 0) - 1 ) / COUNTIF($K$2:$K$269,"&gt;0")) + 1)</f>
        <v/>
      </c>
    </row>
    <row r="33" spans="1:21" x14ac:dyDescent="0.2">
      <c r="A33" t="s">
        <v>93</v>
      </c>
      <c r="B33" s="2">
        <v>0</v>
      </c>
      <c r="C33" s="2">
        <v>0</v>
      </c>
      <c r="D33" s="2">
        <v>0</v>
      </c>
      <c r="E33" s="2">
        <v>1.26050420168067E-2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t="str">
        <f>IF(B33=0,"","Q"&amp;INT(4*( RANK(B33, IF($B$2:$B$269&lt;&gt;0, $B$2:$B$269), 0) - 1 ) / COUNTIF($B$2:$B$269,"&gt;0")) + 1)</f>
        <v/>
      </c>
      <c r="M33" t="str">
        <f>IF(C33=0,"","Q"&amp;INT(4*( RANK(C33, IF($C$2:$C$269&lt;&gt;0, $C$2:$C$269), 0) - 1 ) / COUNTIF($C$2:$C$269,"&gt;0")) + 1)</f>
        <v/>
      </c>
      <c r="N33" t="str">
        <f>IF(D33=0,"","Q"&amp;INT(4*( RANK(D33, IF($D$2:$D$269&lt;&gt;0, $D$2:$D$269), 0) - 1 ) / COUNTIF($D$2:$D$269,"&gt;0")) + 1)</f>
        <v/>
      </c>
      <c r="O33" t="str">
        <f>IF(E33=0,"","Q"&amp;INT(4*( RANK(E33, IF($E$2:$E$269&lt;&gt;0, $E$2:$E$269), 0) - 1 ) / COUNTIF($E$2:$E$269,"&gt;0")) + 1)</f>
        <v>Q2</v>
      </c>
      <c r="P33" t="str">
        <f>IF(F33=0,"","Q"&amp;INT(4*( RANK(F33, IF($F$2:$F$269&lt;&gt;0, $F$2:$F$269), 0) - 1 ) / COUNTIF($F$2:$F$269,"&gt;0")) + 1)</f>
        <v/>
      </c>
      <c r="Q33" t="str">
        <f>IF(G33=0,"","Q"&amp;INT(4*( RANK(G33, IF($G$2:$G$269&lt;&gt;0, $G$2:$G$269), 0) - 1 ) / COUNTIF($G$2:$G$269,"&gt;0")) + 1)</f>
        <v/>
      </c>
      <c r="R33" t="str">
        <f>IF(H33=0,"","Q"&amp;INT(4*( RANK(H33, IF($H$2:$H$269&lt;&gt;0, $H$2:$H$269), 0) - 1 ) / COUNTIF($H$2:$H$269,"&gt;0")) + 1)</f>
        <v/>
      </c>
      <c r="S33" t="str">
        <f>IF(I33=0,"","Q"&amp;INT(4*( RANK(I33, IF($I$2:$I$269&lt;&gt;0, $I$2:$I$269), 0) - 1 ) / COUNTIF($I$2:$I$269,"&gt;0")) + 1)</f>
        <v/>
      </c>
      <c r="T33" t="str">
        <f>IF(J33=0,"","Q"&amp;INT(4*( RANK(J33, IF($J$2:$J$269&lt;&gt;0, $J$2:$J$269), 0) - 1 ) / COUNTIF($J$2:$J$269,"&gt;0")) + 1)</f>
        <v/>
      </c>
      <c r="U33" t="str">
        <f>IF(K33=0,"","Q"&amp;INT(4*( RANK(K33, IF($K$2:$K$269&lt;&gt;0, $K$2:$K$269), 0) - 1 ) / COUNTIF($K$2:$K$269,"&gt;0")) + 1)</f>
        <v/>
      </c>
    </row>
    <row r="34" spans="1:21" x14ac:dyDescent="0.2">
      <c r="A34" t="s">
        <v>1036</v>
      </c>
      <c r="B34" s="2">
        <v>0</v>
      </c>
      <c r="C34" s="2">
        <v>0</v>
      </c>
      <c r="D34" s="2">
        <v>0</v>
      </c>
      <c r="E34" s="2">
        <v>1.26050420168067E-2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t="str">
        <f>IF(B34=0,"","Q"&amp;INT(4*( RANK(B34, IF($B$2:$B$269&lt;&gt;0, $B$2:$B$269), 0) - 1 ) / COUNTIF($B$2:$B$269,"&gt;0")) + 1)</f>
        <v/>
      </c>
      <c r="M34" t="str">
        <f>IF(C34=0,"","Q"&amp;INT(4*( RANK(C34, IF($C$2:$C$269&lt;&gt;0, $C$2:$C$269), 0) - 1 ) / COUNTIF($C$2:$C$269,"&gt;0")) + 1)</f>
        <v/>
      </c>
      <c r="N34" t="str">
        <f>IF(D34=0,"","Q"&amp;INT(4*( RANK(D34, IF($D$2:$D$269&lt;&gt;0, $D$2:$D$269), 0) - 1 ) / COUNTIF($D$2:$D$269,"&gt;0")) + 1)</f>
        <v/>
      </c>
      <c r="O34" t="str">
        <f>IF(E34=0,"","Q"&amp;INT(4*( RANK(E34, IF($E$2:$E$269&lt;&gt;0, $E$2:$E$269), 0) - 1 ) / COUNTIF($E$2:$E$269,"&gt;0")) + 1)</f>
        <v>Q2</v>
      </c>
      <c r="P34" t="str">
        <f>IF(F34=0,"","Q"&amp;INT(4*( RANK(F34, IF($F$2:$F$269&lt;&gt;0, $F$2:$F$269), 0) - 1 ) / COUNTIF($F$2:$F$269,"&gt;0")) + 1)</f>
        <v/>
      </c>
      <c r="Q34" t="str">
        <f>IF(G34=0,"","Q"&amp;INT(4*( RANK(G34, IF($G$2:$G$269&lt;&gt;0, $G$2:$G$269), 0) - 1 ) / COUNTIF($G$2:$G$269,"&gt;0")) + 1)</f>
        <v/>
      </c>
      <c r="R34" t="str">
        <f>IF(H34=0,"","Q"&amp;INT(4*( RANK(H34, IF($H$2:$H$269&lt;&gt;0, $H$2:$H$269), 0) - 1 ) / COUNTIF($H$2:$H$269,"&gt;0")) + 1)</f>
        <v/>
      </c>
      <c r="S34" t="str">
        <f>IF(I34=0,"","Q"&amp;INT(4*( RANK(I34, IF($I$2:$I$269&lt;&gt;0, $I$2:$I$269), 0) - 1 ) / COUNTIF($I$2:$I$269,"&gt;0")) + 1)</f>
        <v/>
      </c>
      <c r="T34" t="str">
        <f>IF(J34=0,"","Q"&amp;INT(4*( RANK(J34, IF($J$2:$J$269&lt;&gt;0, $J$2:$J$269), 0) - 1 ) / COUNTIF($J$2:$J$269,"&gt;0")) + 1)</f>
        <v/>
      </c>
      <c r="U34" t="str">
        <f>IF(K34=0,"","Q"&amp;INT(4*( RANK(K34, IF($K$2:$K$269&lt;&gt;0, $K$2:$K$269), 0) - 1 ) / COUNTIF($K$2:$K$269,"&gt;0")) + 1)</f>
        <v/>
      </c>
    </row>
    <row r="35" spans="1:21" x14ac:dyDescent="0.2">
      <c r="A35" s="8" t="s">
        <v>96</v>
      </c>
      <c r="B35" s="2">
        <v>0</v>
      </c>
      <c r="C35" s="2">
        <v>0</v>
      </c>
      <c r="D35" s="2">
        <v>0</v>
      </c>
      <c r="E35" s="2">
        <v>0.03</v>
      </c>
      <c r="F35" s="2">
        <v>0</v>
      </c>
      <c r="G35" s="2">
        <v>0</v>
      </c>
      <c r="H35" s="2">
        <v>0</v>
      </c>
      <c r="I35" s="2">
        <v>0</v>
      </c>
      <c r="J35" s="2">
        <v>0.21</v>
      </c>
      <c r="K35" s="2">
        <v>0</v>
      </c>
      <c r="L35" t="str">
        <f>IF(B35=0,"","Q"&amp;INT(4*( RANK(B35, IF($B$2:$B$269&lt;&gt;0, $B$2:$B$269), 0) - 1 ) / COUNTIF($B$2:$B$269,"&gt;0")) + 1)</f>
        <v/>
      </c>
      <c r="M35" t="str">
        <f>IF(C35=0,"","Q"&amp;INT(4*( RANK(C35, IF($C$2:$C$269&lt;&gt;0, $C$2:$C$269), 0) - 1 ) / COUNTIF($C$2:$C$269,"&gt;0")) + 1)</f>
        <v/>
      </c>
      <c r="N35" t="str">
        <f>IF(D35=0,"","Q"&amp;INT(4*( RANK(D35, IF($D$2:$D$269&lt;&gt;0, $D$2:$D$269), 0) - 1 ) / COUNTIF($D$2:$D$269,"&gt;0")) + 1)</f>
        <v/>
      </c>
      <c r="O35" t="str">
        <f>IF(E35=0,"","Q"&amp;INT(4*( RANK(E35, IF($E$2:$E$269&lt;&gt;0, $E$2:$E$269), 0) - 1 ) / COUNTIF($E$2:$E$269,"&gt;0")) + 1)</f>
        <v>Q1</v>
      </c>
      <c r="P35" t="str">
        <f>IF(F35=0,"","Q"&amp;INT(4*( RANK(F35, IF($F$2:$F$269&lt;&gt;0, $F$2:$F$269), 0) - 1 ) / COUNTIF($F$2:$F$269,"&gt;0")) + 1)</f>
        <v/>
      </c>
      <c r="Q35" t="str">
        <f>IF(G35=0,"","Q"&amp;INT(4*( RANK(G35, IF($G$2:$G$269&lt;&gt;0, $G$2:$G$269), 0) - 1 ) / COUNTIF($G$2:$G$269,"&gt;0")) + 1)</f>
        <v/>
      </c>
      <c r="R35" t="str">
        <f>IF(H35=0,"","Q"&amp;INT(4*( RANK(H35, IF($H$2:$H$269&lt;&gt;0, $H$2:$H$269), 0) - 1 ) / COUNTIF($H$2:$H$269,"&gt;0")) + 1)</f>
        <v/>
      </c>
      <c r="S35" t="str">
        <f>IF(I35=0,"","Q"&amp;INT(4*( RANK(I35, IF($I$2:$I$269&lt;&gt;0, $I$2:$I$269), 0) - 1 ) / COUNTIF($I$2:$I$269,"&gt;0")) + 1)</f>
        <v/>
      </c>
      <c r="T35" t="str">
        <f>IF(J35=0,"","Q"&amp;INT(4*( RANK(J35, IF($J$2:$J$269&lt;&gt;0, $J$2:$J$269), 0) - 1 ) / COUNTIF($J$2:$J$269,"&gt;0")) + 1)</f>
        <v>Q1</v>
      </c>
      <c r="U35" t="str">
        <f>IF(K35=0,"","Q"&amp;INT(4*( RANK(K35, IF($K$2:$K$269&lt;&gt;0, $K$2:$K$269), 0) - 1 ) / COUNTIF($K$2:$K$269,"&gt;0")) + 1)</f>
        <v/>
      </c>
    </row>
    <row r="36" spans="1:21" x14ac:dyDescent="0.2">
      <c r="A36" t="s">
        <v>97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0.22222222222222199</v>
      </c>
      <c r="I36" s="2">
        <v>0</v>
      </c>
      <c r="J36" s="2">
        <v>0</v>
      </c>
      <c r="K36" s="2">
        <v>0</v>
      </c>
      <c r="L36" t="str">
        <f>IF(B36=0,"","Q"&amp;INT(4*( RANK(B36, IF($B$2:$B$269&lt;&gt;0, $B$2:$B$269), 0) - 1 ) / COUNTIF($B$2:$B$269,"&gt;0")) + 1)</f>
        <v/>
      </c>
      <c r="M36" t="str">
        <f>IF(C36=0,"","Q"&amp;INT(4*( RANK(C36, IF($C$2:$C$269&lt;&gt;0, $C$2:$C$269), 0) - 1 ) / COUNTIF($C$2:$C$269,"&gt;0")) + 1)</f>
        <v/>
      </c>
      <c r="N36" t="str">
        <f>IF(D36=0,"","Q"&amp;INT(4*( RANK(D36, IF($D$2:$D$269&lt;&gt;0, $D$2:$D$269), 0) - 1 ) / COUNTIF($D$2:$D$269,"&gt;0")) + 1)</f>
        <v/>
      </c>
      <c r="O36" t="str">
        <f>IF(E36=0,"","Q"&amp;INT(4*( RANK(E36, IF($E$2:$E$269&lt;&gt;0, $E$2:$E$269), 0) - 1 ) / COUNTIF($E$2:$E$269,"&gt;0")) + 1)</f>
        <v/>
      </c>
      <c r="P36" t="str">
        <f>IF(F36=0,"","Q"&amp;INT(4*( RANK(F36, IF($F$2:$F$269&lt;&gt;0, $F$2:$F$269), 0) - 1 ) / COUNTIF($F$2:$F$269,"&gt;0")) + 1)</f>
        <v/>
      </c>
      <c r="Q36" t="str">
        <f>IF(G36=0,"","Q"&amp;INT(4*( RANK(G36, IF($G$2:$G$269&lt;&gt;0, $G$2:$G$269), 0) - 1 ) / COUNTIF($G$2:$G$269,"&gt;0")) + 1)</f>
        <v/>
      </c>
      <c r="R36" t="str">
        <f>IF(H36=0,"","Q"&amp;INT(4*( RANK(H36, IF($H$2:$H$269&lt;&gt;0, $H$2:$H$269), 0) - 1 ) / COUNTIF($H$2:$H$269,"&gt;0")) + 1)</f>
        <v>Q3</v>
      </c>
      <c r="S36" t="str">
        <f>IF(I36=0,"","Q"&amp;INT(4*( RANK(I36, IF($I$2:$I$269&lt;&gt;0, $I$2:$I$269), 0) - 1 ) / COUNTIF($I$2:$I$269,"&gt;0")) + 1)</f>
        <v/>
      </c>
      <c r="T36" t="str">
        <f>IF(J36=0,"","Q"&amp;INT(4*( RANK(J36, IF($J$2:$J$269&lt;&gt;0, $J$2:$J$269), 0) - 1 ) / COUNTIF($J$2:$J$269,"&gt;0")) + 1)</f>
        <v/>
      </c>
      <c r="U36" t="str">
        <f>IF(K36=0,"","Q"&amp;INT(4*( RANK(K36, IF($K$2:$K$269&lt;&gt;0, $K$2:$K$269), 0) - 1 ) / COUNTIF($K$2:$K$269,"&gt;0")) + 1)</f>
        <v/>
      </c>
    </row>
    <row r="37" spans="1:21" x14ac:dyDescent="0.2">
      <c r="A37" t="s">
        <v>931</v>
      </c>
      <c r="B37" s="2">
        <v>0</v>
      </c>
      <c r="C37" s="2">
        <v>0</v>
      </c>
      <c r="D37" s="2">
        <v>0</v>
      </c>
      <c r="E37" s="2">
        <v>8.4033613445378096E-3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t="str">
        <f>IF(B37=0,"","Q"&amp;INT(4*( RANK(B37, IF($B$2:$B$269&lt;&gt;0, $B$2:$B$269), 0) - 1 ) / COUNTIF($B$2:$B$269,"&gt;0")) + 1)</f>
        <v/>
      </c>
      <c r="M37" t="str">
        <f>IF(C37=0,"","Q"&amp;INT(4*( RANK(C37, IF($C$2:$C$269&lt;&gt;0, $C$2:$C$269), 0) - 1 ) / COUNTIF($C$2:$C$269,"&gt;0")) + 1)</f>
        <v/>
      </c>
      <c r="N37" t="str">
        <f>IF(D37=0,"","Q"&amp;INT(4*( RANK(D37, IF($D$2:$D$269&lt;&gt;0, $D$2:$D$269), 0) - 1 ) / COUNTIF($D$2:$D$269,"&gt;0")) + 1)</f>
        <v/>
      </c>
      <c r="O37" t="str">
        <f>IF(E37=0,"","Q"&amp;INT(4*( RANK(E37, IF($E$2:$E$269&lt;&gt;0, $E$2:$E$269), 0) - 1 ) / COUNTIF($E$2:$E$269,"&gt;0")) + 1)</f>
        <v>Q3</v>
      </c>
      <c r="P37" t="str">
        <f>IF(F37=0,"","Q"&amp;INT(4*( RANK(F37, IF($F$2:$F$269&lt;&gt;0, $F$2:$F$269), 0) - 1 ) / COUNTIF($F$2:$F$269,"&gt;0")) + 1)</f>
        <v/>
      </c>
      <c r="Q37" t="str">
        <f>IF(G37=0,"","Q"&amp;INT(4*( RANK(G37, IF($G$2:$G$269&lt;&gt;0, $G$2:$G$269), 0) - 1 ) / COUNTIF($G$2:$G$269,"&gt;0")) + 1)</f>
        <v/>
      </c>
      <c r="R37" t="str">
        <f>IF(H37=0,"","Q"&amp;INT(4*( RANK(H37, IF($H$2:$H$269&lt;&gt;0, $H$2:$H$269), 0) - 1 ) / COUNTIF($H$2:$H$269,"&gt;0")) + 1)</f>
        <v/>
      </c>
      <c r="S37" t="str">
        <f>IF(I37=0,"","Q"&amp;INT(4*( RANK(I37, IF($I$2:$I$269&lt;&gt;0, $I$2:$I$269), 0) - 1 ) / COUNTIF($I$2:$I$269,"&gt;0")) + 1)</f>
        <v/>
      </c>
      <c r="T37" t="str">
        <f>IF(J37=0,"","Q"&amp;INT(4*( RANK(J37, IF($J$2:$J$269&lt;&gt;0, $J$2:$J$269), 0) - 1 ) / COUNTIF($J$2:$J$269,"&gt;0")) + 1)</f>
        <v/>
      </c>
      <c r="U37" t="str">
        <f>IF(K37=0,"","Q"&amp;INT(4*( RANK(K37, IF($K$2:$K$269&lt;&gt;0, $K$2:$K$269), 0) - 1 ) / COUNTIF($K$2:$K$269,"&gt;0")) + 1)</f>
        <v/>
      </c>
    </row>
    <row r="38" spans="1:21" x14ac:dyDescent="0.2">
      <c r="A38" t="s">
        <v>1037</v>
      </c>
      <c r="B38" s="2">
        <v>0</v>
      </c>
      <c r="C38" s="2">
        <v>0</v>
      </c>
      <c r="D38" s="2">
        <v>0</v>
      </c>
      <c r="E38" s="2">
        <v>0</v>
      </c>
      <c r="F38" s="2">
        <v>0.115384615384615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t="str">
        <f>IF(B38=0,"","Q"&amp;INT(4*( RANK(B38, IF($B$2:$B$269&lt;&gt;0, $B$2:$B$269), 0) - 1 ) / COUNTIF($B$2:$B$269,"&gt;0")) + 1)</f>
        <v/>
      </c>
      <c r="M38" t="str">
        <f>IF(C38=0,"","Q"&amp;INT(4*( RANK(C38, IF($C$2:$C$269&lt;&gt;0, $C$2:$C$269), 0) - 1 ) / COUNTIF($C$2:$C$269,"&gt;0")) + 1)</f>
        <v/>
      </c>
      <c r="N38" t="str">
        <f>IF(D38=0,"","Q"&amp;INT(4*( RANK(D38, IF($D$2:$D$269&lt;&gt;0, $D$2:$D$269), 0) - 1 ) / COUNTIF($D$2:$D$269,"&gt;0")) + 1)</f>
        <v/>
      </c>
      <c r="O38" t="str">
        <f>IF(E38=0,"","Q"&amp;INT(4*( RANK(E38, IF($E$2:$E$269&lt;&gt;0, $E$2:$E$269), 0) - 1 ) / COUNTIF($E$2:$E$269,"&gt;0")) + 1)</f>
        <v/>
      </c>
      <c r="P38" t="str">
        <f>IF(F38=0,"","Q"&amp;INT(4*( RANK(F38, IF($F$2:$F$269&lt;&gt;0, $F$2:$F$269), 0) - 1 ) / COUNTIF($F$2:$F$269,"&gt;0")) + 1)</f>
        <v>Q2</v>
      </c>
      <c r="Q38" t="str">
        <f>IF(G38=0,"","Q"&amp;INT(4*( RANK(G38, IF($G$2:$G$269&lt;&gt;0, $G$2:$G$269), 0) - 1 ) / COUNTIF($G$2:$G$269,"&gt;0")) + 1)</f>
        <v/>
      </c>
      <c r="R38" t="str">
        <f>IF(H38=0,"","Q"&amp;INT(4*( RANK(H38, IF($H$2:$H$269&lt;&gt;0, $H$2:$H$269), 0) - 1 ) / COUNTIF($H$2:$H$269,"&gt;0")) + 1)</f>
        <v/>
      </c>
      <c r="S38" t="str">
        <f>IF(I38=0,"","Q"&amp;INT(4*( RANK(I38, IF($I$2:$I$269&lt;&gt;0, $I$2:$I$269), 0) - 1 ) / COUNTIF($I$2:$I$269,"&gt;0")) + 1)</f>
        <v/>
      </c>
      <c r="T38" t="str">
        <f>IF(J38=0,"","Q"&amp;INT(4*( RANK(J38, IF($J$2:$J$269&lt;&gt;0, $J$2:$J$269), 0) - 1 ) / COUNTIF($J$2:$J$269,"&gt;0")) + 1)</f>
        <v/>
      </c>
      <c r="U38" t="str">
        <f>IF(K38=0,"","Q"&amp;INT(4*( RANK(K38, IF($K$2:$K$269&lt;&gt;0, $K$2:$K$269), 0) - 1 ) / COUNTIF($K$2:$K$269,"&gt;0")) + 1)</f>
        <v/>
      </c>
    </row>
    <row r="39" spans="1:21" x14ac:dyDescent="0.2">
      <c r="A39" t="s">
        <v>932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4.6511627906976702E-2</v>
      </c>
      <c r="K39" s="2">
        <v>0.58823529411764697</v>
      </c>
      <c r="L39" t="str">
        <f>IF(B39=0,"","Q"&amp;INT(4*( RANK(B39, IF($B$2:$B$269&lt;&gt;0, $B$2:$B$269), 0) - 1 ) / COUNTIF($B$2:$B$269,"&gt;0")) + 1)</f>
        <v/>
      </c>
      <c r="M39" t="str">
        <f>IF(C39=0,"","Q"&amp;INT(4*( RANK(C39, IF($C$2:$C$269&lt;&gt;0, $C$2:$C$269), 0) - 1 ) / COUNTIF($C$2:$C$269,"&gt;0")) + 1)</f>
        <v/>
      </c>
      <c r="N39" t="str">
        <f>IF(D39=0,"","Q"&amp;INT(4*( RANK(D39, IF($D$2:$D$269&lt;&gt;0, $D$2:$D$269), 0) - 1 ) / COUNTIF($D$2:$D$269,"&gt;0")) + 1)</f>
        <v/>
      </c>
      <c r="O39" t="str">
        <f>IF(E39=0,"","Q"&amp;INT(4*( RANK(E39, IF($E$2:$E$269&lt;&gt;0, $E$2:$E$269), 0) - 1 ) / COUNTIF($E$2:$E$269,"&gt;0")) + 1)</f>
        <v/>
      </c>
      <c r="P39" t="str">
        <f>IF(F39=0,"","Q"&amp;INT(4*( RANK(F39, IF($F$2:$F$269&lt;&gt;0, $F$2:$F$269), 0) - 1 ) / COUNTIF($F$2:$F$269,"&gt;0")) + 1)</f>
        <v/>
      </c>
      <c r="Q39" t="str">
        <f>IF(G39=0,"","Q"&amp;INT(4*( RANK(G39, IF($G$2:$G$269&lt;&gt;0, $G$2:$G$269), 0) - 1 ) / COUNTIF($G$2:$G$269,"&gt;0")) + 1)</f>
        <v/>
      </c>
      <c r="R39" t="str">
        <f>IF(H39=0,"","Q"&amp;INT(4*( RANK(H39, IF($H$2:$H$269&lt;&gt;0, $H$2:$H$269), 0) - 1 ) / COUNTIF($H$2:$H$269,"&gt;0")) + 1)</f>
        <v/>
      </c>
      <c r="S39" t="str">
        <f>IF(I39=0,"","Q"&amp;INT(4*( RANK(I39, IF($I$2:$I$269&lt;&gt;0, $I$2:$I$269), 0) - 1 ) / COUNTIF($I$2:$I$269,"&gt;0")) + 1)</f>
        <v/>
      </c>
      <c r="T39" t="str">
        <f>IF(J39=0,"","Q"&amp;INT(4*( RANK(J39, IF($J$2:$J$269&lt;&gt;0, $J$2:$J$269), 0) - 1 ) / COUNTIF($J$2:$J$269,"&gt;0")) + 1)</f>
        <v>Q4</v>
      </c>
      <c r="U39" t="str">
        <f>IF(K39=0,"","Q"&amp;INT(4*( RANK(K39, IF($K$2:$K$269&lt;&gt;0, $K$2:$K$269), 0) - 1 ) / COUNTIF($K$2:$K$269,"&gt;0")) + 1)</f>
        <v>Q1</v>
      </c>
    </row>
    <row r="40" spans="1:21" x14ac:dyDescent="0.2">
      <c r="A40" t="s">
        <v>101</v>
      </c>
      <c r="B40" s="2">
        <v>0</v>
      </c>
      <c r="C40" s="2">
        <v>0</v>
      </c>
      <c r="D40" s="2">
        <v>0.14285714285714199</v>
      </c>
      <c r="E40" s="2">
        <v>0.214285714285714</v>
      </c>
      <c r="F40" s="2">
        <v>3.8461538461538401E-2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t="str">
        <f>IF(B40=0,"","Q"&amp;INT(4*( RANK(B40, IF($B$2:$B$269&lt;&gt;0, $B$2:$B$269), 0) - 1 ) / COUNTIF($B$2:$B$269,"&gt;0")) + 1)</f>
        <v/>
      </c>
      <c r="M40" t="str">
        <f>IF(C40=0,"","Q"&amp;INT(4*( RANK(C40, IF($C$2:$C$269&lt;&gt;0, $C$2:$C$269), 0) - 1 ) / COUNTIF($C$2:$C$269,"&gt;0")) + 1)</f>
        <v/>
      </c>
      <c r="N40" t="str">
        <f>IF(D40=0,"","Q"&amp;INT(4*( RANK(D40, IF($D$2:$D$269&lt;&gt;0, $D$2:$D$269), 0) - 1 ) / COUNTIF($D$2:$D$269,"&gt;0")) + 1)</f>
        <v>Q3</v>
      </c>
      <c r="O40" t="str">
        <f>IF(E40=0,"","Q"&amp;INT(4*( RANK(E40, IF($E$2:$E$269&lt;&gt;0, $E$2:$E$269), 0) - 1 ) / COUNTIF($E$2:$E$269,"&gt;0")) + 1)</f>
        <v>Q1</v>
      </c>
      <c r="P40" t="str">
        <f>IF(F40=0,"","Q"&amp;INT(4*( RANK(F40, IF($F$2:$F$269&lt;&gt;0, $F$2:$F$269), 0) - 1 ) / COUNTIF($F$2:$F$269,"&gt;0")) + 1)</f>
        <v>Q4</v>
      </c>
      <c r="Q40" t="str">
        <f>IF(G40=0,"","Q"&amp;INT(4*( RANK(G40, IF($G$2:$G$269&lt;&gt;0, $G$2:$G$269), 0) - 1 ) / COUNTIF($G$2:$G$269,"&gt;0")) + 1)</f>
        <v/>
      </c>
      <c r="R40" t="str">
        <f>IF(H40=0,"","Q"&amp;INT(4*( RANK(H40, IF($H$2:$H$269&lt;&gt;0, $H$2:$H$269), 0) - 1 ) / COUNTIF($H$2:$H$269,"&gt;0")) + 1)</f>
        <v/>
      </c>
      <c r="S40" t="str">
        <f>IF(I40=0,"","Q"&amp;INT(4*( RANK(I40, IF($I$2:$I$269&lt;&gt;0, $I$2:$I$269), 0) - 1 ) / COUNTIF($I$2:$I$269,"&gt;0")) + 1)</f>
        <v/>
      </c>
      <c r="T40" t="str">
        <f>IF(J40=0,"","Q"&amp;INT(4*( RANK(J40, IF($J$2:$J$269&lt;&gt;0, $J$2:$J$269), 0) - 1 ) / COUNTIF($J$2:$J$269,"&gt;0")) + 1)</f>
        <v/>
      </c>
      <c r="U40" t="str">
        <f>IF(K40=0,"","Q"&amp;INT(4*( RANK(K40, IF($K$2:$K$269&lt;&gt;0, $K$2:$K$269), 0) - 1 ) / COUNTIF($K$2:$K$269,"&gt;0")) + 1)</f>
        <v/>
      </c>
    </row>
    <row r="41" spans="1:21" x14ac:dyDescent="0.2">
      <c r="A41" t="s">
        <v>1038</v>
      </c>
      <c r="B41" s="2">
        <v>0</v>
      </c>
      <c r="C41" s="2">
        <v>0</v>
      </c>
      <c r="D41" s="2">
        <v>0</v>
      </c>
      <c r="E41" s="2">
        <v>0</v>
      </c>
      <c r="F41" s="2">
        <v>7.69230769230769E-2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t="str">
        <f>IF(B41=0,"","Q"&amp;INT(4*( RANK(B41, IF($B$2:$B$269&lt;&gt;0, $B$2:$B$269), 0) - 1 ) / COUNTIF($B$2:$B$269,"&gt;0")) + 1)</f>
        <v/>
      </c>
      <c r="M41" t="str">
        <f>IF(C41=0,"","Q"&amp;INT(4*( RANK(C41, IF($C$2:$C$269&lt;&gt;0, $C$2:$C$269), 0) - 1 ) / COUNTIF($C$2:$C$269,"&gt;0")) + 1)</f>
        <v/>
      </c>
      <c r="N41" t="str">
        <f>IF(D41=0,"","Q"&amp;INT(4*( RANK(D41, IF($D$2:$D$269&lt;&gt;0, $D$2:$D$269), 0) - 1 ) / COUNTIF($D$2:$D$269,"&gt;0")) + 1)</f>
        <v/>
      </c>
      <c r="O41" t="str">
        <f>IF(E41=0,"","Q"&amp;INT(4*( RANK(E41, IF($E$2:$E$269&lt;&gt;0, $E$2:$E$269), 0) - 1 ) / COUNTIF($E$2:$E$269,"&gt;0")) + 1)</f>
        <v/>
      </c>
      <c r="P41" t="str">
        <f>IF(F41=0,"","Q"&amp;INT(4*( RANK(F41, IF($F$2:$F$269&lt;&gt;0, $F$2:$F$269), 0) - 1 ) / COUNTIF($F$2:$F$269,"&gt;0")) + 1)</f>
        <v>Q3</v>
      </c>
      <c r="Q41" t="str">
        <f>IF(G41=0,"","Q"&amp;INT(4*( RANK(G41, IF($G$2:$G$269&lt;&gt;0, $G$2:$G$269), 0) - 1 ) / COUNTIF($G$2:$G$269,"&gt;0")) + 1)</f>
        <v/>
      </c>
      <c r="R41" t="str">
        <f>IF(H41=0,"","Q"&amp;INT(4*( RANK(H41, IF($H$2:$H$269&lt;&gt;0, $H$2:$H$269), 0) - 1 ) / COUNTIF($H$2:$H$269,"&gt;0")) + 1)</f>
        <v/>
      </c>
      <c r="S41" t="str">
        <f>IF(I41=0,"","Q"&amp;INT(4*( RANK(I41, IF($I$2:$I$269&lt;&gt;0, $I$2:$I$269), 0) - 1 ) / COUNTIF($I$2:$I$269,"&gt;0")) + 1)</f>
        <v/>
      </c>
      <c r="T41" t="str">
        <f>IF(J41=0,"","Q"&amp;INT(4*( RANK(J41, IF($J$2:$J$269&lt;&gt;0, $J$2:$J$269), 0) - 1 ) / COUNTIF($J$2:$J$269,"&gt;0")) + 1)</f>
        <v/>
      </c>
      <c r="U41" t="str">
        <f>IF(K41=0,"","Q"&amp;INT(4*( RANK(K41, IF($K$2:$K$269&lt;&gt;0, $K$2:$K$269), 0) - 1 ) / COUNTIF($K$2:$K$269,"&gt;0")) + 1)</f>
        <v/>
      </c>
    </row>
    <row r="42" spans="1:21" x14ac:dyDescent="0.2">
      <c r="A42" t="s">
        <v>933</v>
      </c>
      <c r="B42" s="2">
        <v>0</v>
      </c>
      <c r="C42" s="2">
        <v>0</v>
      </c>
      <c r="D42" s="2">
        <v>0</v>
      </c>
      <c r="E42" s="2">
        <v>8.4033613445378096E-3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t="str">
        <f>IF(B42=0,"","Q"&amp;INT(4*( RANK(B42, IF($B$2:$B$269&lt;&gt;0, $B$2:$B$269), 0) - 1 ) / COUNTIF($B$2:$B$269,"&gt;0")) + 1)</f>
        <v/>
      </c>
      <c r="M42" t="str">
        <f>IF(C42=0,"","Q"&amp;INT(4*( RANK(C42, IF($C$2:$C$269&lt;&gt;0, $C$2:$C$269), 0) - 1 ) / COUNTIF($C$2:$C$269,"&gt;0")) + 1)</f>
        <v/>
      </c>
      <c r="N42" t="str">
        <f>IF(D42=0,"","Q"&amp;INT(4*( RANK(D42, IF($D$2:$D$269&lt;&gt;0, $D$2:$D$269), 0) - 1 ) / COUNTIF($D$2:$D$269,"&gt;0")) + 1)</f>
        <v/>
      </c>
      <c r="O42" t="str">
        <f>IF(E42=0,"","Q"&amp;INT(4*( RANK(E42, IF($E$2:$E$269&lt;&gt;0, $E$2:$E$269), 0) - 1 ) / COUNTIF($E$2:$E$269,"&gt;0")) + 1)</f>
        <v>Q3</v>
      </c>
      <c r="P42" t="str">
        <f>IF(F42=0,"","Q"&amp;INT(4*( RANK(F42, IF($F$2:$F$269&lt;&gt;0, $F$2:$F$269), 0) - 1 ) / COUNTIF($F$2:$F$269,"&gt;0")) + 1)</f>
        <v/>
      </c>
      <c r="Q42" t="str">
        <f>IF(G42=0,"","Q"&amp;INT(4*( RANK(G42, IF($G$2:$G$269&lt;&gt;0, $G$2:$G$269), 0) - 1 ) / COUNTIF($G$2:$G$269,"&gt;0")) + 1)</f>
        <v/>
      </c>
      <c r="R42" t="str">
        <f>IF(H42=0,"","Q"&amp;INT(4*( RANK(H42, IF($H$2:$H$269&lt;&gt;0, $H$2:$H$269), 0) - 1 ) / COUNTIF($H$2:$H$269,"&gt;0")) + 1)</f>
        <v/>
      </c>
      <c r="S42" t="str">
        <f>IF(I42=0,"","Q"&amp;INT(4*( RANK(I42, IF($I$2:$I$269&lt;&gt;0, $I$2:$I$269), 0) - 1 ) / COUNTIF($I$2:$I$269,"&gt;0")) + 1)</f>
        <v/>
      </c>
      <c r="T42" t="str">
        <f>IF(J42=0,"","Q"&amp;INT(4*( RANK(J42, IF($J$2:$J$269&lt;&gt;0, $J$2:$J$269), 0) - 1 ) / COUNTIF($J$2:$J$269,"&gt;0")) + 1)</f>
        <v/>
      </c>
      <c r="U42" t="str">
        <f>IF(K42=0,"","Q"&amp;INT(4*( RANK(K42, IF($K$2:$K$269&lt;&gt;0, $K$2:$K$269), 0) - 1 ) / COUNTIF($K$2:$K$269,"&gt;0")) + 1)</f>
        <v/>
      </c>
    </row>
    <row r="43" spans="1:21" x14ac:dyDescent="0.2">
      <c r="A43" t="s">
        <v>934</v>
      </c>
      <c r="B43" s="2">
        <v>0</v>
      </c>
      <c r="C43" s="2">
        <v>0</v>
      </c>
      <c r="D43" s="2">
        <v>0</v>
      </c>
      <c r="E43" s="2">
        <v>0</v>
      </c>
      <c r="F43" s="2">
        <v>0.115384615384615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t="str">
        <f>IF(B43=0,"","Q"&amp;INT(4*( RANK(B43, IF($B$2:$B$269&lt;&gt;0, $B$2:$B$269), 0) - 1 ) / COUNTIF($B$2:$B$269,"&gt;0")) + 1)</f>
        <v/>
      </c>
      <c r="M43" t="str">
        <f>IF(C43=0,"","Q"&amp;INT(4*( RANK(C43, IF($C$2:$C$269&lt;&gt;0, $C$2:$C$269), 0) - 1 ) / COUNTIF($C$2:$C$269,"&gt;0")) + 1)</f>
        <v/>
      </c>
      <c r="N43" t="str">
        <f>IF(D43=0,"","Q"&amp;INT(4*( RANK(D43, IF($D$2:$D$269&lt;&gt;0, $D$2:$D$269), 0) - 1 ) / COUNTIF($D$2:$D$269,"&gt;0")) + 1)</f>
        <v/>
      </c>
      <c r="O43" t="str">
        <f>IF(E43=0,"","Q"&amp;INT(4*( RANK(E43, IF($E$2:$E$269&lt;&gt;0, $E$2:$E$269), 0) - 1 ) / COUNTIF($E$2:$E$269,"&gt;0")) + 1)</f>
        <v/>
      </c>
      <c r="P43" t="str">
        <f>IF(F43=0,"","Q"&amp;INT(4*( RANK(F43, IF($F$2:$F$269&lt;&gt;0, $F$2:$F$269), 0) - 1 ) / COUNTIF($F$2:$F$269,"&gt;0")) + 1)</f>
        <v>Q2</v>
      </c>
      <c r="Q43" t="str">
        <f>IF(G43=0,"","Q"&amp;INT(4*( RANK(G43, IF($G$2:$G$269&lt;&gt;0, $G$2:$G$269), 0) - 1 ) / COUNTIF($G$2:$G$269,"&gt;0")) + 1)</f>
        <v/>
      </c>
      <c r="R43" t="str">
        <f>IF(H43=0,"","Q"&amp;INT(4*( RANK(H43, IF($H$2:$H$269&lt;&gt;0, $H$2:$H$269), 0) - 1 ) / COUNTIF($H$2:$H$269,"&gt;0")) + 1)</f>
        <v/>
      </c>
      <c r="S43" t="str">
        <f>IF(I43=0,"","Q"&amp;INT(4*( RANK(I43, IF($I$2:$I$269&lt;&gt;0, $I$2:$I$269), 0) - 1 ) / COUNTIF($I$2:$I$269,"&gt;0")) + 1)</f>
        <v/>
      </c>
      <c r="T43" t="str">
        <f>IF(J43=0,"","Q"&amp;INT(4*( RANK(J43, IF($J$2:$J$269&lt;&gt;0, $J$2:$J$269), 0) - 1 ) / COUNTIF($J$2:$J$269,"&gt;0")) + 1)</f>
        <v/>
      </c>
      <c r="U43" t="str">
        <f>IF(K43=0,"","Q"&amp;INT(4*( RANK(K43, IF($K$2:$K$269&lt;&gt;0, $K$2:$K$269), 0) - 1 ) / COUNTIF($K$2:$K$269,"&gt;0")) + 1)</f>
        <v/>
      </c>
    </row>
    <row r="44" spans="1:21" x14ac:dyDescent="0.2">
      <c r="A44" t="s">
        <v>935</v>
      </c>
      <c r="B44" s="2">
        <v>0</v>
      </c>
      <c r="C44" s="2">
        <v>0</v>
      </c>
      <c r="D44" s="2">
        <v>0</v>
      </c>
      <c r="E44" s="2">
        <v>4.2016806722688996E-3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t="str">
        <f>IF(B44=0,"","Q"&amp;INT(4*( RANK(B44, IF($B$2:$B$269&lt;&gt;0, $B$2:$B$269), 0) - 1 ) / COUNTIF($B$2:$B$269,"&gt;0")) + 1)</f>
        <v/>
      </c>
      <c r="M44" t="str">
        <f>IF(C44=0,"","Q"&amp;INT(4*( RANK(C44, IF($C$2:$C$269&lt;&gt;0, $C$2:$C$269), 0) - 1 ) / COUNTIF($C$2:$C$269,"&gt;0")) + 1)</f>
        <v/>
      </c>
      <c r="N44" t="str">
        <f>IF(D44=0,"","Q"&amp;INT(4*( RANK(D44, IF($D$2:$D$269&lt;&gt;0, $D$2:$D$269), 0) - 1 ) / COUNTIF($D$2:$D$269,"&gt;0")) + 1)</f>
        <v/>
      </c>
      <c r="O44" t="str">
        <f>IF(E44=0,"","Q"&amp;INT(4*( RANK(E44, IF($E$2:$E$269&lt;&gt;0, $E$2:$E$269), 0) - 1 ) / COUNTIF($E$2:$E$269,"&gt;0")) + 1)</f>
        <v>Q4</v>
      </c>
      <c r="P44" t="str">
        <f>IF(F44=0,"","Q"&amp;INT(4*( RANK(F44, IF($F$2:$F$269&lt;&gt;0, $F$2:$F$269), 0) - 1 ) / COUNTIF($F$2:$F$269,"&gt;0")) + 1)</f>
        <v/>
      </c>
      <c r="Q44" t="str">
        <f>IF(G44=0,"","Q"&amp;INT(4*( RANK(G44, IF($G$2:$G$269&lt;&gt;0, $G$2:$G$269), 0) - 1 ) / COUNTIF($G$2:$G$269,"&gt;0")) + 1)</f>
        <v/>
      </c>
      <c r="R44" t="str">
        <f>IF(H44=0,"","Q"&amp;INT(4*( RANK(H44, IF($H$2:$H$269&lt;&gt;0, $H$2:$H$269), 0) - 1 ) / COUNTIF($H$2:$H$269,"&gt;0")) + 1)</f>
        <v/>
      </c>
      <c r="S44" t="str">
        <f>IF(I44=0,"","Q"&amp;INT(4*( RANK(I44, IF($I$2:$I$269&lt;&gt;0, $I$2:$I$269), 0) - 1 ) / COUNTIF($I$2:$I$269,"&gt;0")) + 1)</f>
        <v/>
      </c>
      <c r="T44" t="str">
        <f>IF(J44=0,"","Q"&amp;INT(4*( RANK(J44, IF($J$2:$J$269&lt;&gt;0, $J$2:$J$269), 0) - 1 ) / COUNTIF($J$2:$J$269,"&gt;0")) + 1)</f>
        <v/>
      </c>
      <c r="U44" t="str">
        <f>IF(K44=0,"","Q"&amp;INT(4*( RANK(K44, IF($K$2:$K$269&lt;&gt;0, $K$2:$K$269), 0) - 1 ) / COUNTIF($K$2:$K$269,"&gt;0")) + 1)</f>
        <v/>
      </c>
    </row>
    <row r="45" spans="1:21" x14ac:dyDescent="0.2">
      <c r="A45" t="s">
        <v>936</v>
      </c>
      <c r="B45" s="2">
        <v>0</v>
      </c>
      <c r="C45" s="2">
        <v>0</v>
      </c>
      <c r="D45" s="2">
        <v>0</v>
      </c>
      <c r="E45" s="2">
        <v>1.6806722689075598E-2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t="str">
        <f>IF(B45=0,"","Q"&amp;INT(4*( RANK(B45, IF($B$2:$B$269&lt;&gt;0, $B$2:$B$269), 0) - 1 ) / COUNTIF($B$2:$B$269,"&gt;0")) + 1)</f>
        <v/>
      </c>
      <c r="M45" t="str">
        <f>IF(C45=0,"","Q"&amp;INT(4*( RANK(C45, IF($C$2:$C$269&lt;&gt;0, $C$2:$C$269), 0) - 1 ) / COUNTIF($C$2:$C$269,"&gt;0")) + 1)</f>
        <v/>
      </c>
      <c r="N45" t="str">
        <f>IF(D45=0,"","Q"&amp;INT(4*( RANK(D45, IF($D$2:$D$269&lt;&gt;0, $D$2:$D$269), 0) - 1 ) / COUNTIF($D$2:$D$269,"&gt;0")) + 1)</f>
        <v/>
      </c>
      <c r="O45" t="str">
        <f>IF(E45=0,"","Q"&amp;INT(4*( RANK(E45, IF($E$2:$E$269&lt;&gt;0, $E$2:$E$269), 0) - 1 ) / COUNTIF($E$2:$E$269,"&gt;0")) + 1)</f>
        <v>Q2</v>
      </c>
      <c r="P45" t="str">
        <f>IF(F45=0,"","Q"&amp;INT(4*( RANK(F45, IF($F$2:$F$269&lt;&gt;0, $F$2:$F$269), 0) - 1 ) / COUNTIF($F$2:$F$269,"&gt;0")) + 1)</f>
        <v/>
      </c>
      <c r="Q45" t="str">
        <f>IF(G45=0,"","Q"&amp;INT(4*( RANK(G45, IF($G$2:$G$269&lt;&gt;0, $G$2:$G$269), 0) - 1 ) / COUNTIF($G$2:$G$269,"&gt;0")) + 1)</f>
        <v/>
      </c>
      <c r="R45" t="str">
        <f>IF(H45=0,"","Q"&amp;INT(4*( RANK(H45, IF($H$2:$H$269&lt;&gt;0, $H$2:$H$269), 0) - 1 ) / COUNTIF($H$2:$H$269,"&gt;0")) + 1)</f>
        <v/>
      </c>
      <c r="S45" t="str">
        <f>IF(I45=0,"","Q"&amp;INT(4*( RANK(I45, IF($I$2:$I$269&lt;&gt;0, $I$2:$I$269), 0) - 1 ) / COUNTIF($I$2:$I$269,"&gt;0")) + 1)</f>
        <v/>
      </c>
      <c r="T45" t="str">
        <f>IF(J45=0,"","Q"&amp;INT(4*( RANK(J45, IF($J$2:$J$269&lt;&gt;0, $J$2:$J$269), 0) - 1 ) / COUNTIF($J$2:$J$269,"&gt;0")) + 1)</f>
        <v/>
      </c>
      <c r="U45" t="str">
        <f>IF(K45=0,"","Q"&amp;INT(4*( RANK(K45, IF($K$2:$K$269&lt;&gt;0, $K$2:$K$269), 0) - 1 ) / COUNTIF($K$2:$K$269,"&gt;0")) + 1)</f>
        <v/>
      </c>
    </row>
    <row r="46" spans="1:21" x14ac:dyDescent="0.2">
      <c r="A46" s="8" t="s">
        <v>111</v>
      </c>
      <c r="B46" s="2">
        <v>0</v>
      </c>
      <c r="C46" s="2">
        <v>0</v>
      </c>
      <c r="D46" s="2">
        <v>0</v>
      </c>
      <c r="E46" s="2">
        <v>2.5000000000000001E-2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t="str">
        <f>IF(B46=0,"","Q"&amp;INT(4*( RANK(B46, IF($B$2:$B$269&lt;&gt;0, $B$2:$B$269), 0) - 1 ) / COUNTIF($B$2:$B$269,"&gt;0")) + 1)</f>
        <v/>
      </c>
      <c r="M46" t="str">
        <f>IF(C46=0,"","Q"&amp;INT(4*( RANK(C46, IF($C$2:$C$269&lt;&gt;0, $C$2:$C$269), 0) - 1 ) / COUNTIF($C$2:$C$269,"&gt;0")) + 1)</f>
        <v/>
      </c>
      <c r="N46" t="str">
        <f>IF(D46=0,"","Q"&amp;INT(4*( RANK(D46, IF($D$2:$D$269&lt;&gt;0, $D$2:$D$269), 0) - 1 ) / COUNTIF($D$2:$D$269,"&gt;0")) + 1)</f>
        <v/>
      </c>
      <c r="O46" t="str">
        <f>IF(E46=0,"","Q"&amp;INT(4*( RANK(E46, IF($E$2:$E$269&lt;&gt;0, $E$2:$E$269), 0) - 1 ) / COUNTIF($E$2:$E$269,"&gt;0")) + 1)</f>
        <v>Q2</v>
      </c>
      <c r="P46" t="str">
        <f>IF(F46=0,"","Q"&amp;INT(4*( RANK(F46, IF($F$2:$F$269&lt;&gt;0, $F$2:$F$269), 0) - 1 ) / COUNTIF($F$2:$F$269,"&gt;0")) + 1)</f>
        <v/>
      </c>
      <c r="Q46" t="str">
        <f>IF(G46=0,"","Q"&amp;INT(4*( RANK(G46, IF($G$2:$G$269&lt;&gt;0, $G$2:$G$269), 0) - 1 ) / COUNTIF($G$2:$G$269,"&gt;0")) + 1)</f>
        <v/>
      </c>
      <c r="R46" t="str">
        <f>IF(H46=0,"","Q"&amp;INT(4*( RANK(H46, IF($H$2:$H$269&lt;&gt;0, $H$2:$H$269), 0) - 1 ) / COUNTIF($H$2:$H$269,"&gt;0")) + 1)</f>
        <v/>
      </c>
      <c r="S46" t="str">
        <f>IF(I46=0,"","Q"&amp;INT(4*( RANK(I46, IF($I$2:$I$269&lt;&gt;0, $I$2:$I$269), 0) - 1 ) / COUNTIF($I$2:$I$269,"&gt;0")) + 1)</f>
        <v/>
      </c>
      <c r="T46" t="str">
        <f>IF(J46=0,"","Q"&amp;INT(4*( RANK(J46, IF($J$2:$J$269&lt;&gt;0, $J$2:$J$269), 0) - 1 ) / COUNTIF($J$2:$J$269,"&gt;0")) + 1)</f>
        <v/>
      </c>
      <c r="U46" t="str">
        <f>IF(K46=0,"","Q"&amp;INT(4*( RANK(K46, IF($K$2:$K$269&lt;&gt;0, $K$2:$K$269), 0) - 1 ) / COUNTIF($K$2:$K$269,"&gt;0")) + 1)</f>
        <v/>
      </c>
    </row>
    <row r="47" spans="1:21" x14ac:dyDescent="0.2">
      <c r="A47" t="s">
        <v>937</v>
      </c>
      <c r="B47" s="2">
        <v>0</v>
      </c>
      <c r="C47" s="2">
        <v>0</v>
      </c>
      <c r="D47" s="2">
        <v>0</v>
      </c>
      <c r="E47" s="2">
        <v>1.26050420168067E-2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t="str">
        <f>IF(B47=0,"","Q"&amp;INT(4*( RANK(B47, IF($B$2:$B$269&lt;&gt;0, $B$2:$B$269), 0) - 1 ) / COUNTIF($B$2:$B$269,"&gt;0")) + 1)</f>
        <v/>
      </c>
      <c r="M47" t="str">
        <f>IF(C47=0,"","Q"&amp;INT(4*( RANK(C47, IF($C$2:$C$269&lt;&gt;0, $C$2:$C$269), 0) - 1 ) / COUNTIF($C$2:$C$269,"&gt;0")) + 1)</f>
        <v/>
      </c>
      <c r="N47" t="str">
        <f>IF(D47=0,"","Q"&amp;INT(4*( RANK(D47, IF($D$2:$D$269&lt;&gt;0, $D$2:$D$269), 0) - 1 ) / COUNTIF($D$2:$D$269,"&gt;0")) + 1)</f>
        <v/>
      </c>
      <c r="O47" t="str">
        <f>IF(E47=0,"","Q"&amp;INT(4*( RANK(E47, IF($E$2:$E$269&lt;&gt;0, $E$2:$E$269), 0) - 1 ) / COUNTIF($E$2:$E$269,"&gt;0")) + 1)</f>
        <v>Q2</v>
      </c>
      <c r="P47" t="str">
        <f>IF(F47=0,"","Q"&amp;INT(4*( RANK(F47, IF($F$2:$F$269&lt;&gt;0, $F$2:$F$269), 0) - 1 ) / COUNTIF($F$2:$F$269,"&gt;0")) + 1)</f>
        <v/>
      </c>
      <c r="Q47" t="str">
        <f>IF(G47=0,"","Q"&amp;INT(4*( RANK(G47, IF($G$2:$G$269&lt;&gt;0, $G$2:$G$269), 0) - 1 ) / COUNTIF($G$2:$G$269,"&gt;0")) + 1)</f>
        <v/>
      </c>
      <c r="R47" t="str">
        <f>IF(H47=0,"","Q"&amp;INT(4*( RANK(H47, IF($H$2:$H$269&lt;&gt;0, $H$2:$H$269), 0) - 1 ) / COUNTIF($H$2:$H$269,"&gt;0")) + 1)</f>
        <v/>
      </c>
      <c r="S47" t="str">
        <f>IF(I47=0,"","Q"&amp;INT(4*( RANK(I47, IF($I$2:$I$269&lt;&gt;0, $I$2:$I$269), 0) - 1 ) / COUNTIF($I$2:$I$269,"&gt;0")) + 1)</f>
        <v/>
      </c>
      <c r="T47" t="str">
        <f>IF(J47=0,"","Q"&amp;INT(4*( RANK(J47, IF($J$2:$J$269&lt;&gt;0, $J$2:$J$269), 0) - 1 ) / COUNTIF($J$2:$J$269,"&gt;0")) + 1)</f>
        <v/>
      </c>
      <c r="U47" t="str">
        <f>IF(K47=0,"","Q"&amp;INT(4*( RANK(K47, IF($K$2:$K$269&lt;&gt;0, $K$2:$K$269), 0) - 1 ) / COUNTIF($K$2:$K$269,"&gt;0")) + 1)</f>
        <v/>
      </c>
    </row>
    <row r="48" spans="1:21" x14ac:dyDescent="0.2">
      <c r="A48" t="s">
        <v>938</v>
      </c>
      <c r="B48" s="2">
        <v>0</v>
      </c>
      <c r="C48" s="2">
        <v>0</v>
      </c>
      <c r="D48" s="2">
        <v>0</v>
      </c>
      <c r="E48" s="2">
        <v>0</v>
      </c>
      <c r="F48" s="2">
        <v>7.69230769230769E-2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t="str">
        <f>IF(B48=0,"","Q"&amp;INT(4*( RANK(B48, IF($B$2:$B$269&lt;&gt;0, $B$2:$B$269), 0) - 1 ) / COUNTIF($B$2:$B$269,"&gt;0")) + 1)</f>
        <v/>
      </c>
      <c r="M48" t="str">
        <f>IF(C48=0,"","Q"&amp;INT(4*( RANK(C48, IF($C$2:$C$269&lt;&gt;0, $C$2:$C$269), 0) - 1 ) / COUNTIF($C$2:$C$269,"&gt;0")) + 1)</f>
        <v/>
      </c>
      <c r="N48" t="str">
        <f>IF(D48=0,"","Q"&amp;INT(4*( RANK(D48, IF($D$2:$D$269&lt;&gt;0, $D$2:$D$269), 0) - 1 ) / COUNTIF($D$2:$D$269,"&gt;0")) + 1)</f>
        <v/>
      </c>
      <c r="O48" t="str">
        <f>IF(E48=0,"","Q"&amp;INT(4*( RANK(E48, IF($E$2:$E$269&lt;&gt;0, $E$2:$E$269), 0) - 1 ) / COUNTIF($E$2:$E$269,"&gt;0")) + 1)</f>
        <v/>
      </c>
      <c r="P48" t="str">
        <f>IF(F48=0,"","Q"&amp;INT(4*( RANK(F48, IF($F$2:$F$269&lt;&gt;0, $F$2:$F$269), 0) - 1 ) / COUNTIF($F$2:$F$269,"&gt;0")) + 1)</f>
        <v>Q3</v>
      </c>
      <c r="Q48" t="str">
        <f>IF(G48=0,"","Q"&amp;INT(4*( RANK(G48, IF($G$2:$G$269&lt;&gt;0, $G$2:$G$269), 0) - 1 ) / COUNTIF($G$2:$G$269,"&gt;0")) + 1)</f>
        <v/>
      </c>
      <c r="R48" t="str">
        <f>IF(H48=0,"","Q"&amp;INT(4*( RANK(H48, IF($H$2:$H$269&lt;&gt;0, $H$2:$H$269), 0) - 1 ) / COUNTIF($H$2:$H$269,"&gt;0")) + 1)</f>
        <v/>
      </c>
      <c r="S48" t="str">
        <f>IF(I48=0,"","Q"&amp;INT(4*( RANK(I48, IF($I$2:$I$269&lt;&gt;0, $I$2:$I$269), 0) - 1 ) / COUNTIF($I$2:$I$269,"&gt;0")) + 1)</f>
        <v/>
      </c>
      <c r="T48" t="str">
        <f>IF(J48=0,"","Q"&amp;INT(4*( RANK(J48, IF($J$2:$J$269&lt;&gt;0, $J$2:$J$269), 0) - 1 ) / COUNTIF($J$2:$J$269,"&gt;0")) + 1)</f>
        <v/>
      </c>
      <c r="U48" t="str">
        <f>IF(K48=0,"","Q"&amp;INT(4*( RANK(K48, IF($K$2:$K$269&lt;&gt;0, $K$2:$K$269), 0) - 1 ) / COUNTIF($K$2:$K$269,"&gt;0")) + 1)</f>
        <v/>
      </c>
    </row>
    <row r="49" spans="1:21" x14ac:dyDescent="0.2">
      <c r="A49" t="s">
        <v>939</v>
      </c>
      <c r="B49" s="2">
        <v>0</v>
      </c>
      <c r="C49" s="2">
        <v>0</v>
      </c>
      <c r="D49" s="2">
        <v>0</v>
      </c>
      <c r="E49" s="2">
        <v>8.4033613445378096E-3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t="str">
        <f>IF(B49=0,"","Q"&amp;INT(4*( RANK(B49, IF($B$2:$B$269&lt;&gt;0, $B$2:$B$269), 0) - 1 ) / COUNTIF($B$2:$B$269,"&gt;0")) + 1)</f>
        <v/>
      </c>
      <c r="M49" t="str">
        <f>IF(C49=0,"","Q"&amp;INT(4*( RANK(C49, IF($C$2:$C$269&lt;&gt;0, $C$2:$C$269), 0) - 1 ) / COUNTIF($C$2:$C$269,"&gt;0")) + 1)</f>
        <v/>
      </c>
      <c r="N49" t="str">
        <f>IF(D49=0,"","Q"&amp;INT(4*( RANK(D49, IF($D$2:$D$269&lt;&gt;0, $D$2:$D$269), 0) - 1 ) / COUNTIF($D$2:$D$269,"&gt;0")) + 1)</f>
        <v/>
      </c>
      <c r="O49" t="str">
        <f>IF(E49=0,"","Q"&amp;INT(4*( RANK(E49, IF($E$2:$E$269&lt;&gt;0, $E$2:$E$269), 0) - 1 ) / COUNTIF($E$2:$E$269,"&gt;0")) + 1)</f>
        <v>Q3</v>
      </c>
      <c r="P49" t="str">
        <f>IF(F49=0,"","Q"&amp;INT(4*( RANK(F49, IF($F$2:$F$269&lt;&gt;0, $F$2:$F$269), 0) - 1 ) / COUNTIF($F$2:$F$269,"&gt;0")) + 1)</f>
        <v/>
      </c>
      <c r="Q49" t="str">
        <f>IF(G49=0,"","Q"&amp;INT(4*( RANK(G49, IF($G$2:$G$269&lt;&gt;0, $G$2:$G$269), 0) - 1 ) / COUNTIF($G$2:$G$269,"&gt;0")) + 1)</f>
        <v/>
      </c>
      <c r="R49" t="str">
        <f>IF(H49=0,"","Q"&amp;INT(4*( RANK(H49, IF($H$2:$H$269&lt;&gt;0, $H$2:$H$269), 0) - 1 ) / COUNTIF($H$2:$H$269,"&gt;0")) + 1)</f>
        <v/>
      </c>
      <c r="S49" t="str">
        <f>IF(I49=0,"","Q"&amp;INT(4*( RANK(I49, IF($I$2:$I$269&lt;&gt;0, $I$2:$I$269), 0) - 1 ) / COUNTIF($I$2:$I$269,"&gt;0")) + 1)</f>
        <v/>
      </c>
      <c r="T49" t="str">
        <f>IF(J49=0,"","Q"&amp;INT(4*( RANK(J49, IF($J$2:$J$269&lt;&gt;0, $J$2:$J$269), 0) - 1 ) / COUNTIF($J$2:$J$269,"&gt;0")) + 1)</f>
        <v/>
      </c>
      <c r="U49" t="str">
        <f>IF(K49=0,"","Q"&amp;INT(4*( RANK(K49, IF($K$2:$K$269&lt;&gt;0, $K$2:$K$269), 0) - 1 ) / COUNTIF($K$2:$K$269,"&gt;0")) + 1)</f>
        <v/>
      </c>
    </row>
    <row r="50" spans="1:21" x14ac:dyDescent="0.2">
      <c r="A50" t="s">
        <v>1039</v>
      </c>
      <c r="B50" s="2">
        <v>0</v>
      </c>
      <c r="C50" s="2">
        <v>0</v>
      </c>
      <c r="D50" s="2">
        <v>0</v>
      </c>
      <c r="E50" s="2">
        <v>8.4033613445378096E-3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t="str">
        <f>IF(B50=0,"","Q"&amp;INT(4*( RANK(B50, IF($B$2:$B$269&lt;&gt;0, $B$2:$B$269), 0) - 1 ) / COUNTIF($B$2:$B$269,"&gt;0")) + 1)</f>
        <v/>
      </c>
      <c r="M50" t="str">
        <f>IF(C50=0,"","Q"&amp;INT(4*( RANK(C50, IF($C$2:$C$269&lt;&gt;0, $C$2:$C$269), 0) - 1 ) / COUNTIF($C$2:$C$269,"&gt;0")) + 1)</f>
        <v/>
      </c>
      <c r="N50" t="str">
        <f>IF(D50=0,"","Q"&amp;INT(4*( RANK(D50, IF($D$2:$D$269&lt;&gt;0, $D$2:$D$269), 0) - 1 ) / COUNTIF($D$2:$D$269,"&gt;0")) + 1)</f>
        <v/>
      </c>
      <c r="O50" t="str">
        <f>IF(E50=0,"","Q"&amp;INT(4*( RANK(E50, IF($E$2:$E$269&lt;&gt;0, $E$2:$E$269), 0) - 1 ) / COUNTIF($E$2:$E$269,"&gt;0")) + 1)</f>
        <v>Q3</v>
      </c>
      <c r="P50" t="str">
        <f>IF(F50=0,"","Q"&amp;INT(4*( RANK(F50, IF($F$2:$F$269&lt;&gt;0, $F$2:$F$269), 0) - 1 ) / COUNTIF($F$2:$F$269,"&gt;0")) + 1)</f>
        <v/>
      </c>
      <c r="Q50" t="str">
        <f>IF(G50=0,"","Q"&amp;INT(4*( RANK(G50, IF($G$2:$G$269&lt;&gt;0, $G$2:$G$269), 0) - 1 ) / COUNTIF($G$2:$G$269,"&gt;0")) + 1)</f>
        <v/>
      </c>
      <c r="R50" t="str">
        <f>IF(H50=0,"","Q"&amp;INT(4*( RANK(H50, IF($H$2:$H$269&lt;&gt;0, $H$2:$H$269), 0) - 1 ) / COUNTIF($H$2:$H$269,"&gt;0")) + 1)</f>
        <v/>
      </c>
      <c r="S50" t="str">
        <f>IF(I50=0,"","Q"&amp;INT(4*( RANK(I50, IF($I$2:$I$269&lt;&gt;0, $I$2:$I$269), 0) - 1 ) / COUNTIF($I$2:$I$269,"&gt;0")) + 1)</f>
        <v/>
      </c>
      <c r="T50" t="str">
        <f>IF(J50=0,"","Q"&amp;INT(4*( RANK(J50, IF($J$2:$J$269&lt;&gt;0, $J$2:$J$269), 0) - 1 ) / COUNTIF($J$2:$J$269,"&gt;0")) + 1)</f>
        <v/>
      </c>
      <c r="U50" t="str">
        <f>IF(K50=0,"","Q"&amp;INT(4*( RANK(K50, IF($K$2:$K$269&lt;&gt;0, $K$2:$K$269), 0) - 1 ) / COUNTIF($K$2:$K$269,"&gt;0")) + 1)</f>
        <v/>
      </c>
    </row>
    <row r="51" spans="1:21" x14ac:dyDescent="0.2">
      <c r="A51" t="s">
        <v>940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1.29411764705882</v>
      </c>
      <c r="L51" t="str">
        <f>IF(B51=0,"","Q"&amp;INT(4*( RANK(B51, IF($B$2:$B$269&lt;&gt;0, $B$2:$B$269), 0) - 1 ) / COUNTIF($B$2:$B$269,"&gt;0")) + 1)</f>
        <v/>
      </c>
      <c r="M51" t="str">
        <f>IF(C51=0,"","Q"&amp;INT(4*( RANK(C51, IF($C$2:$C$269&lt;&gt;0, $C$2:$C$269), 0) - 1 ) / COUNTIF($C$2:$C$269,"&gt;0")) + 1)</f>
        <v/>
      </c>
      <c r="N51" t="str">
        <f>IF(D51=0,"","Q"&amp;INT(4*( RANK(D51, IF($D$2:$D$269&lt;&gt;0, $D$2:$D$269), 0) - 1 ) / COUNTIF($D$2:$D$269,"&gt;0")) + 1)</f>
        <v/>
      </c>
      <c r="O51" t="str">
        <f>IF(E51=0,"","Q"&amp;INT(4*( RANK(E51, IF($E$2:$E$269&lt;&gt;0, $E$2:$E$269), 0) - 1 ) / COUNTIF($E$2:$E$269,"&gt;0")) + 1)</f>
        <v/>
      </c>
      <c r="P51" t="str">
        <f>IF(F51=0,"","Q"&amp;INT(4*( RANK(F51, IF($F$2:$F$269&lt;&gt;0, $F$2:$F$269), 0) - 1 ) / COUNTIF($F$2:$F$269,"&gt;0")) + 1)</f>
        <v/>
      </c>
      <c r="Q51" t="str">
        <f>IF(G51=0,"","Q"&amp;INT(4*( RANK(G51, IF($G$2:$G$269&lt;&gt;0, $G$2:$G$269), 0) - 1 ) / COUNTIF($G$2:$G$269,"&gt;0")) + 1)</f>
        <v/>
      </c>
      <c r="R51" t="str">
        <f>IF(H51=0,"","Q"&amp;INT(4*( RANK(H51, IF($H$2:$H$269&lt;&gt;0, $H$2:$H$269), 0) - 1 ) / COUNTIF($H$2:$H$269,"&gt;0")) + 1)</f>
        <v/>
      </c>
      <c r="S51" t="str">
        <f>IF(I51=0,"","Q"&amp;INT(4*( RANK(I51, IF($I$2:$I$269&lt;&gt;0, $I$2:$I$269), 0) - 1 ) / COUNTIF($I$2:$I$269,"&gt;0")) + 1)</f>
        <v/>
      </c>
      <c r="T51" t="str">
        <f>IF(J51=0,"","Q"&amp;INT(4*( RANK(J51, IF($J$2:$J$269&lt;&gt;0, $J$2:$J$269), 0) - 1 ) / COUNTIF($J$2:$J$269,"&gt;0")) + 1)</f>
        <v/>
      </c>
      <c r="U51" t="str">
        <f>IF(K51=0,"","Q"&amp;INT(4*( RANK(K51, IF($K$2:$K$269&lt;&gt;0, $K$2:$K$269), 0) - 1 ) / COUNTIF($K$2:$K$269,"&gt;0")) + 1)</f>
        <v>Q1</v>
      </c>
    </row>
    <row r="52" spans="1:21" x14ac:dyDescent="0.2">
      <c r="A52" t="s">
        <v>1040</v>
      </c>
      <c r="B52" s="2">
        <v>0</v>
      </c>
      <c r="C52" s="2">
        <v>0</v>
      </c>
      <c r="D52" s="2">
        <v>0</v>
      </c>
      <c r="E52" s="2">
        <v>8.4033613445378096E-3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t="str">
        <f>IF(B52=0,"","Q"&amp;INT(4*( RANK(B52, IF($B$2:$B$269&lt;&gt;0, $B$2:$B$269), 0) - 1 ) / COUNTIF($B$2:$B$269,"&gt;0")) + 1)</f>
        <v/>
      </c>
      <c r="M52" t="str">
        <f>IF(C52=0,"","Q"&amp;INT(4*( RANK(C52, IF($C$2:$C$269&lt;&gt;0, $C$2:$C$269), 0) - 1 ) / COUNTIF($C$2:$C$269,"&gt;0")) + 1)</f>
        <v/>
      </c>
      <c r="N52" t="str">
        <f>IF(D52=0,"","Q"&amp;INT(4*( RANK(D52, IF($D$2:$D$269&lt;&gt;0, $D$2:$D$269), 0) - 1 ) / COUNTIF($D$2:$D$269,"&gt;0")) + 1)</f>
        <v/>
      </c>
      <c r="O52" t="str">
        <f>IF(E52=0,"","Q"&amp;INT(4*( RANK(E52, IF($E$2:$E$269&lt;&gt;0, $E$2:$E$269), 0) - 1 ) / COUNTIF($E$2:$E$269,"&gt;0")) + 1)</f>
        <v>Q3</v>
      </c>
      <c r="P52" t="str">
        <f>IF(F52=0,"","Q"&amp;INT(4*( RANK(F52, IF($F$2:$F$269&lt;&gt;0, $F$2:$F$269), 0) - 1 ) / COUNTIF($F$2:$F$269,"&gt;0")) + 1)</f>
        <v/>
      </c>
      <c r="Q52" t="str">
        <f>IF(G52=0,"","Q"&amp;INT(4*( RANK(G52, IF($G$2:$G$269&lt;&gt;0, $G$2:$G$269), 0) - 1 ) / COUNTIF($G$2:$G$269,"&gt;0")) + 1)</f>
        <v/>
      </c>
      <c r="R52" t="str">
        <f>IF(H52=0,"","Q"&amp;INT(4*( RANK(H52, IF($H$2:$H$269&lt;&gt;0, $H$2:$H$269), 0) - 1 ) / COUNTIF($H$2:$H$269,"&gt;0")) + 1)</f>
        <v/>
      </c>
      <c r="S52" t="str">
        <f>IF(I52=0,"","Q"&amp;INT(4*( RANK(I52, IF($I$2:$I$269&lt;&gt;0, $I$2:$I$269), 0) - 1 ) / COUNTIF($I$2:$I$269,"&gt;0")) + 1)</f>
        <v/>
      </c>
      <c r="T52" t="str">
        <f>IF(J52=0,"","Q"&amp;INT(4*( RANK(J52, IF($J$2:$J$269&lt;&gt;0, $J$2:$J$269), 0) - 1 ) / COUNTIF($J$2:$J$269,"&gt;0")) + 1)</f>
        <v/>
      </c>
      <c r="U52" t="str">
        <f>IF(K52=0,"","Q"&amp;INT(4*( RANK(K52, IF($K$2:$K$269&lt;&gt;0, $K$2:$K$269), 0) - 1 ) / COUNTIF($K$2:$K$269,"&gt;0")) + 1)</f>
        <v/>
      </c>
    </row>
    <row r="53" spans="1:21" x14ac:dyDescent="0.2">
      <c r="A53" t="s">
        <v>941</v>
      </c>
      <c r="B53" s="2">
        <v>0</v>
      </c>
      <c r="C53" s="2">
        <v>0</v>
      </c>
      <c r="D53" s="2">
        <v>0</v>
      </c>
      <c r="E53" s="2">
        <v>1.26050420168067E-2</v>
      </c>
      <c r="F53" s="2">
        <v>0</v>
      </c>
      <c r="G53" s="2">
        <v>0</v>
      </c>
      <c r="H53" s="2">
        <v>0.11111111111111099</v>
      </c>
      <c r="I53" s="2">
        <v>0</v>
      </c>
      <c r="J53" s="2">
        <v>0</v>
      </c>
      <c r="K53" s="2">
        <v>0</v>
      </c>
      <c r="L53" t="str">
        <f>IF(B53=0,"","Q"&amp;INT(4*( RANK(B53, IF($B$2:$B$269&lt;&gt;0, $B$2:$B$269), 0) - 1 ) / COUNTIF($B$2:$B$269,"&gt;0")) + 1)</f>
        <v/>
      </c>
      <c r="M53" t="str">
        <f>IF(C53=0,"","Q"&amp;INT(4*( RANK(C53, IF($C$2:$C$269&lt;&gt;0, $C$2:$C$269), 0) - 1 ) / COUNTIF($C$2:$C$269,"&gt;0")) + 1)</f>
        <v/>
      </c>
      <c r="N53" t="str">
        <f>IF(D53=0,"","Q"&amp;INT(4*( RANK(D53, IF($D$2:$D$269&lt;&gt;0, $D$2:$D$269), 0) - 1 ) / COUNTIF($D$2:$D$269,"&gt;0")) + 1)</f>
        <v/>
      </c>
      <c r="O53" t="str">
        <f>IF(E53=0,"","Q"&amp;INT(4*( RANK(E53, IF($E$2:$E$269&lt;&gt;0, $E$2:$E$269), 0) - 1 ) / COUNTIF($E$2:$E$269,"&gt;0")) + 1)</f>
        <v>Q2</v>
      </c>
      <c r="P53" t="str">
        <f>IF(F53=0,"","Q"&amp;INT(4*( RANK(F53, IF($F$2:$F$269&lt;&gt;0, $F$2:$F$269), 0) - 1 ) / COUNTIF($F$2:$F$269,"&gt;0")) + 1)</f>
        <v/>
      </c>
      <c r="Q53" t="str">
        <f>IF(G53=0,"","Q"&amp;INT(4*( RANK(G53, IF($G$2:$G$269&lt;&gt;0, $G$2:$G$269), 0) - 1 ) / COUNTIF($G$2:$G$269,"&gt;0")) + 1)</f>
        <v/>
      </c>
      <c r="R53" t="str">
        <f>IF(H53=0,"","Q"&amp;INT(4*( RANK(H53, IF($H$2:$H$269&lt;&gt;0, $H$2:$H$269), 0) - 1 ) / COUNTIF($H$2:$H$269,"&gt;0")) + 1)</f>
        <v>Q4</v>
      </c>
      <c r="S53" t="str">
        <f>IF(I53=0,"","Q"&amp;INT(4*( RANK(I53, IF($I$2:$I$269&lt;&gt;0, $I$2:$I$269), 0) - 1 ) / COUNTIF($I$2:$I$269,"&gt;0")) + 1)</f>
        <v/>
      </c>
      <c r="T53" t="str">
        <f>IF(J53=0,"","Q"&amp;INT(4*( RANK(J53, IF($J$2:$J$269&lt;&gt;0, $J$2:$J$269), 0) - 1 ) / COUNTIF($J$2:$J$269,"&gt;0")) + 1)</f>
        <v/>
      </c>
      <c r="U53" t="str">
        <f>IF(K53=0,"","Q"&amp;INT(4*( RANK(K53, IF($K$2:$K$269&lt;&gt;0, $K$2:$K$269), 0) - 1 ) / COUNTIF($K$2:$K$269,"&gt;0")) + 1)</f>
        <v/>
      </c>
    </row>
    <row r="54" spans="1:21" x14ac:dyDescent="0.2">
      <c r="A54" t="s">
        <v>1041</v>
      </c>
      <c r="B54" s="2">
        <v>0</v>
      </c>
      <c r="C54" s="2">
        <v>0</v>
      </c>
      <c r="D54" s="2">
        <v>0</v>
      </c>
      <c r="E54" s="2">
        <v>1.26050420168067E-2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t="str">
        <f>IF(B54=0,"","Q"&amp;INT(4*( RANK(B54, IF($B$2:$B$269&lt;&gt;0, $B$2:$B$269), 0) - 1 ) / COUNTIF($B$2:$B$269,"&gt;0")) + 1)</f>
        <v/>
      </c>
      <c r="M54" t="str">
        <f>IF(C54=0,"","Q"&amp;INT(4*( RANK(C54, IF($C$2:$C$269&lt;&gt;0, $C$2:$C$269), 0) - 1 ) / COUNTIF($C$2:$C$269,"&gt;0")) + 1)</f>
        <v/>
      </c>
      <c r="N54" t="str">
        <f>IF(D54=0,"","Q"&amp;INT(4*( RANK(D54, IF($D$2:$D$269&lt;&gt;0, $D$2:$D$269), 0) - 1 ) / COUNTIF($D$2:$D$269,"&gt;0")) + 1)</f>
        <v/>
      </c>
      <c r="O54" t="str">
        <f>IF(E54=0,"","Q"&amp;INT(4*( RANK(E54, IF($E$2:$E$269&lt;&gt;0, $E$2:$E$269), 0) - 1 ) / COUNTIF($E$2:$E$269,"&gt;0")) + 1)</f>
        <v>Q2</v>
      </c>
      <c r="P54" t="str">
        <f>IF(F54=0,"","Q"&amp;INT(4*( RANK(F54, IF($F$2:$F$269&lt;&gt;0, $F$2:$F$269), 0) - 1 ) / COUNTIF($F$2:$F$269,"&gt;0")) + 1)</f>
        <v/>
      </c>
      <c r="Q54" t="str">
        <f>IF(G54=0,"","Q"&amp;INT(4*( RANK(G54, IF($G$2:$G$269&lt;&gt;0, $G$2:$G$269), 0) - 1 ) / COUNTIF($G$2:$G$269,"&gt;0")) + 1)</f>
        <v/>
      </c>
      <c r="R54" t="str">
        <f>IF(H54=0,"","Q"&amp;INT(4*( RANK(H54, IF($H$2:$H$269&lt;&gt;0, $H$2:$H$269), 0) - 1 ) / COUNTIF($H$2:$H$269,"&gt;0")) + 1)</f>
        <v/>
      </c>
      <c r="S54" t="str">
        <f>IF(I54=0,"","Q"&amp;INT(4*( RANK(I54, IF($I$2:$I$269&lt;&gt;0, $I$2:$I$269), 0) - 1 ) / COUNTIF($I$2:$I$269,"&gt;0")) + 1)</f>
        <v/>
      </c>
      <c r="T54" t="str">
        <f>IF(J54=0,"","Q"&amp;INT(4*( RANK(J54, IF($J$2:$J$269&lt;&gt;0, $J$2:$J$269), 0) - 1 ) / COUNTIF($J$2:$J$269,"&gt;0")) + 1)</f>
        <v/>
      </c>
      <c r="U54" t="str">
        <f>IF(K54=0,"","Q"&amp;INT(4*( RANK(K54, IF($K$2:$K$269&lt;&gt;0, $K$2:$K$269), 0) - 1 ) / COUNTIF($K$2:$K$269,"&gt;0")) + 1)</f>
        <v/>
      </c>
    </row>
    <row r="55" spans="1:21" x14ac:dyDescent="0.2">
      <c r="A55" t="s">
        <v>117</v>
      </c>
      <c r="B55" s="2">
        <v>0</v>
      </c>
      <c r="C55" s="2">
        <v>0</v>
      </c>
      <c r="D55" s="2">
        <v>0</v>
      </c>
      <c r="E55" s="2">
        <v>4.2016806722688996E-3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t="str">
        <f>IF(B55=0,"","Q"&amp;INT(4*( RANK(B55, IF($B$2:$B$269&lt;&gt;0, $B$2:$B$269), 0) - 1 ) / COUNTIF($B$2:$B$269,"&gt;0")) + 1)</f>
        <v/>
      </c>
      <c r="M55" t="str">
        <f>IF(C55=0,"","Q"&amp;INT(4*( RANK(C55, IF($C$2:$C$269&lt;&gt;0, $C$2:$C$269), 0) - 1 ) / COUNTIF($C$2:$C$269,"&gt;0")) + 1)</f>
        <v/>
      </c>
      <c r="N55" t="str">
        <f>IF(D55=0,"","Q"&amp;INT(4*( RANK(D55, IF($D$2:$D$269&lt;&gt;0, $D$2:$D$269), 0) - 1 ) / COUNTIF($D$2:$D$269,"&gt;0")) + 1)</f>
        <v/>
      </c>
      <c r="O55" t="str">
        <f>IF(E55=0,"","Q"&amp;INT(4*( RANK(E55, IF($E$2:$E$269&lt;&gt;0, $E$2:$E$269), 0) - 1 ) / COUNTIF($E$2:$E$269,"&gt;0")) + 1)</f>
        <v>Q4</v>
      </c>
      <c r="P55" t="str">
        <f>IF(F55=0,"","Q"&amp;INT(4*( RANK(F55, IF($F$2:$F$269&lt;&gt;0, $F$2:$F$269), 0) - 1 ) / COUNTIF($F$2:$F$269,"&gt;0")) + 1)</f>
        <v/>
      </c>
      <c r="Q55" t="str">
        <f>IF(G55=0,"","Q"&amp;INT(4*( RANK(G55, IF($G$2:$G$269&lt;&gt;0, $G$2:$G$269), 0) - 1 ) / COUNTIF($G$2:$G$269,"&gt;0")) + 1)</f>
        <v/>
      </c>
      <c r="R55" t="str">
        <f>IF(H55=0,"","Q"&amp;INT(4*( RANK(H55, IF($H$2:$H$269&lt;&gt;0, $H$2:$H$269), 0) - 1 ) / COUNTIF($H$2:$H$269,"&gt;0")) + 1)</f>
        <v/>
      </c>
      <c r="S55" t="str">
        <f>IF(I55=0,"","Q"&amp;INT(4*( RANK(I55, IF($I$2:$I$269&lt;&gt;0, $I$2:$I$269), 0) - 1 ) / COUNTIF($I$2:$I$269,"&gt;0")) + 1)</f>
        <v/>
      </c>
      <c r="T55" t="str">
        <f>IF(J55=0,"","Q"&amp;INT(4*( RANK(J55, IF($J$2:$J$269&lt;&gt;0, $J$2:$J$269), 0) - 1 ) / COUNTIF($J$2:$J$269,"&gt;0")) + 1)</f>
        <v/>
      </c>
      <c r="U55" t="str">
        <f>IF(K55=0,"","Q"&amp;INT(4*( RANK(K55, IF($K$2:$K$269&lt;&gt;0, $K$2:$K$269), 0) - 1 ) / COUNTIF($K$2:$K$269,"&gt;0")) + 1)</f>
        <v/>
      </c>
    </row>
    <row r="56" spans="1:21" x14ac:dyDescent="0.2">
      <c r="A56" t="s">
        <v>942</v>
      </c>
      <c r="B56" s="2">
        <v>0</v>
      </c>
      <c r="C56" s="2">
        <v>0</v>
      </c>
      <c r="D56" s="2">
        <v>0</v>
      </c>
      <c r="E56" s="2">
        <v>4.2016806722688996E-3</v>
      </c>
      <c r="F56" s="2">
        <v>3.8461538461538401E-2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t="str">
        <f>IF(B56=0,"","Q"&amp;INT(4*( RANK(B56, IF($B$2:$B$269&lt;&gt;0, $B$2:$B$269), 0) - 1 ) / COUNTIF($B$2:$B$269,"&gt;0")) + 1)</f>
        <v/>
      </c>
      <c r="M56" t="str">
        <f>IF(C56=0,"","Q"&amp;INT(4*( RANK(C56, IF($C$2:$C$269&lt;&gt;0, $C$2:$C$269), 0) - 1 ) / COUNTIF($C$2:$C$269,"&gt;0")) + 1)</f>
        <v/>
      </c>
      <c r="N56" t="str">
        <f>IF(D56=0,"","Q"&amp;INT(4*( RANK(D56, IF($D$2:$D$269&lt;&gt;0, $D$2:$D$269), 0) - 1 ) / COUNTIF($D$2:$D$269,"&gt;0")) + 1)</f>
        <v/>
      </c>
      <c r="O56" t="str">
        <f>IF(E56=0,"","Q"&amp;INT(4*( RANK(E56, IF($E$2:$E$269&lt;&gt;0, $E$2:$E$269), 0) - 1 ) / COUNTIF($E$2:$E$269,"&gt;0")) + 1)</f>
        <v>Q4</v>
      </c>
      <c r="P56" t="str">
        <f>IF(F56=0,"","Q"&amp;INT(4*( RANK(F56, IF($F$2:$F$269&lt;&gt;0, $F$2:$F$269), 0) - 1 ) / COUNTIF($F$2:$F$269,"&gt;0")) + 1)</f>
        <v>Q4</v>
      </c>
      <c r="Q56" t="str">
        <f>IF(G56=0,"","Q"&amp;INT(4*( RANK(G56, IF($G$2:$G$269&lt;&gt;0, $G$2:$G$269), 0) - 1 ) / COUNTIF($G$2:$G$269,"&gt;0")) + 1)</f>
        <v/>
      </c>
      <c r="R56" t="str">
        <f>IF(H56=0,"","Q"&amp;INT(4*( RANK(H56, IF($H$2:$H$269&lt;&gt;0, $H$2:$H$269), 0) - 1 ) / COUNTIF($H$2:$H$269,"&gt;0")) + 1)</f>
        <v/>
      </c>
      <c r="S56" t="str">
        <f>IF(I56=0,"","Q"&amp;INT(4*( RANK(I56, IF($I$2:$I$269&lt;&gt;0, $I$2:$I$269), 0) - 1 ) / COUNTIF($I$2:$I$269,"&gt;0")) + 1)</f>
        <v/>
      </c>
      <c r="T56" t="str">
        <f>IF(J56=0,"","Q"&amp;INT(4*( RANK(J56, IF($J$2:$J$269&lt;&gt;0, $J$2:$J$269), 0) - 1 ) / COUNTIF($J$2:$J$269,"&gt;0")) + 1)</f>
        <v/>
      </c>
      <c r="U56" t="str">
        <f>IF(K56=0,"","Q"&amp;INT(4*( RANK(K56, IF($K$2:$K$269&lt;&gt;0, $K$2:$K$269), 0) - 1 ) / COUNTIF($K$2:$K$269,"&gt;0")) + 1)</f>
        <v/>
      </c>
    </row>
    <row r="57" spans="1:21" x14ac:dyDescent="0.2">
      <c r="A57" t="s">
        <v>943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0.44444444444444398</v>
      </c>
      <c r="I57" s="2">
        <v>0</v>
      </c>
      <c r="J57" s="2">
        <v>0</v>
      </c>
      <c r="K57" s="2">
        <v>0</v>
      </c>
      <c r="L57" t="str">
        <f>IF(B57=0,"","Q"&amp;INT(4*( RANK(B57, IF($B$2:$B$269&lt;&gt;0, $B$2:$B$269), 0) - 1 ) / COUNTIF($B$2:$B$269,"&gt;0")) + 1)</f>
        <v/>
      </c>
      <c r="M57" t="str">
        <f>IF(C57=0,"","Q"&amp;INT(4*( RANK(C57, IF($C$2:$C$269&lt;&gt;0, $C$2:$C$269), 0) - 1 ) / COUNTIF($C$2:$C$269,"&gt;0")) + 1)</f>
        <v/>
      </c>
      <c r="N57" t="str">
        <f>IF(D57=0,"","Q"&amp;INT(4*( RANK(D57, IF($D$2:$D$269&lt;&gt;0, $D$2:$D$269), 0) - 1 ) / COUNTIF($D$2:$D$269,"&gt;0")) + 1)</f>
        <v/>
      </c>
      <c r="O57" t="str">
        <f>IF(E57=0,"","Q"&amp;INT(4*( RANK(E57, IF($E$2:$E$269&lt;&gt;0, $E$2:$E$269), 0) - 1 ) / COUNTIF($E$2:$E$269,"&gt;0")) + 1)</f>
        <v/>
      </c>
      <c r="P57" t="str">
        <f>IF(F57=0,"","Q"&amp;INT(4*( RANK(F57, IF($F$2:$F$269&lt;&gt;0, $F$2:$F$269), 0) - 1 ) / COUNTIF($F$2:$F$269,"&gt;0")) + 1)</f>
        <v/>
      </c>
      <c r="Q57" t="str">
        <f>IF(G57=0,"","Q"&amp;INT(4*( RANK(G57, IF($G$2:$G$269&lt;&gt;0, $G$2:$G$269), 0) - 1 ) / COUNTIF($G$2:$G$269,"&gt;0")) + 1)</f>
        <v/>
      </c>
      <c r="R57" t="str">
        <f>IF(H57=0,"","Q"&amp;INT(4*( RANK(H57, IF($H$2:$H$269&lt;&gt;0, $H$2:$H$269), 0) - 1 ) / COUNTIF($H$2:$H$269,"&gt;0")) + 1)</f>
        <v>Q1</v>
      </c>
      <c r="S57" t="str">
        <f>IF(I57=0,"","Q"&amp;INT(4*( RANK(I57, IF($I$2:$I$269&lt;&gt;0, $I$2:$I$269), 0) - 1 ) / COUNTIF($I$2:$I$269,"&gt;0")) + 1)</f>
        <v/>
      </c>
      <c r="T57" t="str">
        <f>IF(J57=0,"","Q"&amp;INT(4*( RANK(J57, IF($J$2:$J$269&lt;&gt;0, $J$2:$J$269), 0) - 1 ) / COUNTIF($J$2:$J$269,"&gt;0")) + 1)</f>
        <v/>
      </c>
      <c r="U57" t="str">
        <f>IF(K57=0,"","Q"&amp;INT(4*( RANK(K57, IF($K$2:$K$269&lt;&gt;0, $K$2:$K$269), 0) - 1 ) / COUNTIF($K$2:$K$269,"&gt;0")) + 1)</f>
        <v/>
      </c>
    </row>
    <row r="58" spans="1:21" x14ac:dyDescent="0.2">
      <c r="A58" t="s">
        <v>944</v>
      </c>
      <c r="B58" s="2">
        <v>0</v>
      </c>
      <c r="C58" s="2">
        <v>0</v>
      </c>
      <c r="D58" s="2">
        <v>0</v>
      </c>
      <c r="E58" s="2">
        <v>6.7226890756302504E-2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t="str">
        <f>IF(B58=0,"","Q"&amp;INT(4*( RANK(B58, IF($B$2:$B$269&lt;&gt;0, $B$2:$B$269), 0) - 1 ) / COUNTIF($B$2:$B$269,"&gt;0")) + 1)</f>
        <v/>
      </c>
      <c r="M58" t="str">
        <f>IF(C58=0,"","Q"&amp;INT(4*( RANK(C58, IF($C$2:$C$269&lt;&gt;0, $C$2:$C$269), 0) - 1 ) / COUNTIF($C$2:$C$269,"&gt;0")) + 1)</f>
        <v/>
      </c>
      <c r="N58" t="str">
        <f>IF(D58=0,"","Q"&amp;INT(4*( RANK(D58, IF($D$2:$D$269&lt;&gt;0, $D$2:$D$269), 0) - 1 ) / COUNTIF($D$2:$D$269,"&gt;0")) + 1)</f>
        <v/>
      </c>
      <c r="O58" t="str">
        <f>IF(E58=0,"","Q"&amp;INT(4*( RANK(E58, IF($E$2:$E$269&lt;&gt;0, $E$2:$E$269), 0) - 1 ) / COUNTIF($E$2:$E$269,"&gt;0")) + 1)</f>
        <v>Q1</v>
      </c>
      <c r="P58" t="str">
        <f>IF(F58=0,"","Q"&amp;INT(4*( RANK(F58, IF($F$2:$F$269&lt;&gt;0, $F$2:$F$269), 0) - 1 ) / COUNTIF($F$2:$F$269,"&gt;0")) + 1)</f>
        <v/>
      </c>
      <c r="Q58" t="str">
        <f>IF(G58=0,"","Q"&amp;INT(4*( RANK(G58, IF($G$2:$G$269&lt;&gt;0, $G$2:$G$269), 0) - 1 ) / COUNTIF($G$2:$G$269,"&gt;0")) + 1)</f>
        <v/>
      </c>
      <c r="R58" t="str">
        <f>IF(H58=0,"","Q"&amp;INT(4*( RANK(H58, IF($H$2:$H$269&lt;&gt;0, $H$2:$H$269), 0) - 1 ) / COUNTIF($H$2:$H$269,"&gt;0")) + 1)</f>
        <v/>
      </c>
      <c r="S58" t="str">
        <f>IF(I58=0,"","Q"&amp;INT(4*( RANK(I58, IF($I$2:$I$269&lt;&gt;0, $I$2:$I$269), 0) - 1 ) / COUNTIF($I$2:$I$269,"&gt;0")) + 1)</f>
        <v/>
      </c>
      <c r="T58" t="str">
        <f>IF(J58=0,"","Q"&amp;INT(4*( RANK(J58, IF($J$2:$J$269&lt;&gt;0, $J$2:$J$269), 0) - 1 ) / COUNTIF($J$2:$J$269,"&gt;0")) + 1)</f>
        <v/>
      </c>
      <c r="U58" t="str">
        <f>IF(K58=0,"","Q"&amp;INT(4*( RANK(K58, IF($K$2:$K$269&lt;&gt;0, $K$2:$K$269), 0) - 1 ) / COUNTIF($K$2:$K$269,"&gt;0")) + 1)</f>
        <v/>
      </c>
    </row>
    <row r="59" spans="1:21" x14ac:dyDescent="0.2">
      <c r="A59" t="s">
        <v>121</v>
      </c>
      <c r="B59" s="2">
        <v>0</v>
      </c>
      <c r="C59" s="2">
        <v>0.3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t="str">
        <f>IF(B59=0,"","Q"&amp;INT(4*( RANK(B59, IF($B$2:$B$269&lt;&gt;0, $B$2:$B$269), 0) - 1 ) / COUNTIF($B$2:$B$269,"&gt;0")) + 1)</f>
        <v/>
      </c>
      <c r="M59" t="str">
        <f>IF(C59=0,"","Q"&amp;INT(4*( RANK(C59, IF($C$2:$C$269&lt;&gt;0, $C$2:$C$269), 0) - 1 ) / COUNTIF($C$2:$C$269,"&gt;0")) + 1)</f>
        <v>Q2</v>
      </c>
      <c r="N59" t="str">
        <f>IF(D59=0,"","Q"&amp;INT(4*( RANK(D59, IF($D$2:$D$269&lt;&gt;0, $D$2:$D$269), 0) - 1 ) / COUNTIF($D$2:$D$269,"&gt;0")) + 1)</f>
        <v/>
      </c>
      <c r="O59" t="str">
        <f>IF(E59=0,"","Q"&amp;INT(4*( RANK(E59, IF($E$2:$E$269&lt;&gt;0, $E$2:$E$269), 0) - 1 ) / COUNTIF($E$2:$E$269,"&gt;0")) + 1)</f>
        <v/>
      </c>
      <c r="P59" t="str">
        <f>IF(F59=0,"","Q"&amp;INT(4*( RANK(F59, IF($F$2:$F$269&lt;&gt;0, $F$2:$F$269), 0) - 1 ) / COUNTIF($F$2:$F$269,"&gt;0")) + 1)</f>
        <v/>
      </c>
      <c r="Q59" t="str">
        <f>IF(G59=0,"","Q"&amp;INT(4*( RANK(G59, IF($G$2:$G$269&lt;&gt;0, $G$2:$G$269), 0) - 1 ) / COUNTIF($G$2:$G$269,"&gt;0")) + 1)</f>
        <v/>
      </c>
      <c r="R59" t="str">
        <f>IF(H59=0,"","Q"&amp;INT(4*( RANK(H59, IF($H$2:$H$269&lt;&gt;0, $H$2:$H$269), 0) - 1 ) / COUNTIF($H$2:$H$269,"&gt;0")) + 1)</f>
        <v/>
      </c>
      <c r="S59" t="str">
        <f>IF(I59=0,"","Q"&amp;INT(4*( RANK(I59, IF($I$2:$I$269&lt;&gt;0, $I$2:$I$269), 0) - 1 ) / COUNTIF($I$2:$I$269,"&gt;0")) + 1)</f>
        <v/>
      </c>
      <c r="T59" t="str">
        <f>IF(J59=0,"","Q"&amp;INT(4*( RANK(J59, IF($J$2:$J$269&lt;&gt;0, $J$2:$J$269), 0) - 1 ) / COUNTIF($J$2:$J$269,"&gt;0")) + 1)</f>
        <v/>
      </c>
      <c r="U59" t="str">
        <f>IF(K59=0,"","Q"&amp;INT(4*( RANK(K59, IF($K$2:$K$269&lt;&gt;0, $K$2:$K$269), 0) - 1 ) / COUNTIF($K$2:$K$269,"&gt;0")) + 1)</f>
        <v/>
      </c>
    </row>
    <row r="60" spans="1:21" x14ac:dyDescent="0.2">
      <c r="A60" t="s">
        <v>122</v>
      </c>
      <c r="B60" s="2">
        <v>0</v>
      </c>
      <c r="C60" s="2">
        <v>0</v>
      </c>
      <c r="D60" s="2">
        <v>0</v>
      </c>
      <c r="E60" s="2">
        <v>8.4033613445378096E-3</v>
      </c>
      <c r="F60" s="2">
        <v>0</v>
      </c>
      <c r="G60" s="2">
        <v>0</v>
      </c>
      <c r="H60" s="2">
        <v>0</v>
      </c>
      <c r="I60" s="2">
        <v>0</v>
      </c>
      <c r="J60" s="2">
        <v>0.13953488372093001</v>
      </c>
      <c r="K60" s="2">
        <v>0</v>
      </c>
      <c r="L60" t="str">
        <f>IF(B60=0,"","Q"&amp;INT(4*( RANK(B60, IF($B$2:$B$269&lt;&gt;0, $B$2:$B$269), 0) - 1 ) / COUNTIF($B$2:$B$269,"&gt;0")) + 1)</f>
        <v/>
      </c>
      <c r="M60" t="str">
        <f>IF(C60=0,"","Q"&amp;INT(4*( RANK(C60, IF($C$2:$C$269&lt;&gt;0, $C$2:$C$269), 0) - 1 ) / COUNTIF($C$2:$C$269,"&gt;0")) + 1)</f>
        <v/>
      </c>
      <c r="N60" t="str">
        <f>IF(D60=0,"","Q"&amp;INT(4*( RANK(D60, IF($D$2:$D$269&lt;&gt;0, $D$2:$D$269), 0) - 1 ) / COUNTIF($D$2:$D$269,"&gt;0")) + 1)</f>
        <v/>
      </c>
      <c r="O60" t="str">
        <f>IF(E60=0,"","Q"&amp;INT(4*( RANK(E60, IF($E$2:$E$269&lt;&gt;0, $E$2:$E$269), 0) - 1 ) / COUNTIF($E$2:$E$269,"&gt;0")) + 1)</f>
        <v>Q3</v>
      </c>
      <c r="P60" t="str">
        <f>IF(F60=0,"","Q"&amp;INT(4*( RANK(F60, IF($F$2:$F$269&lt;&gt;0, $F$2:$F$269), 0) - 1 ) / COUNTIF($F$2:$F$269,"&gt;0")) + 1)</f>
        <v/>
      </c>
      <c r="Q60" t="str">
        <f>IF(G60=0,"","Q"&amp;INT(4*( RANK(G60, IF($G$2:$G$269&lt;&gt;0, $G$2:$G$269), 0) - 1 ) / COUNTIF($G$2:$G$269,"&gt;0")) + 1)</f>
        <v/>
      </c>
      <c r="R60" t="str">
        <f>IF(H60=0,"","Q"&amp;INT(4*( RANK(H60, IF($H$2:$H$269&lt;&gt;0, $H$2:$H$269), 0) - 1 ) / COUNTIF($H$2:$H$269,"&gt;0")) + 1)</f>
        <v/>
      </c>
      <c r="S60" t="str">
        <f>IF(I60=0,"","Q"&amp;INT(4*( RANK(I60, IF($I$2:$I$269&lt;&gt;0, $I$2:$I$269), 0) - 1 ) / COUNTIF($I$2:$I$269,"&gt;0")) + 1)</f>
        <v/>
      </c>
      <c r="T60" t="str">
        <f>IF(J60=0,"","Q"&amp;INT(4*( RANK(J60, IF($J$2:$J$269&lt;&gt;0, $J$2:$J$269), 0) - 1 ) / COUNTIF($J$2:$J$269,"&gt;0")) + 1)</f>
        <v>Q2</v>
      </c>
      <c r="U60" t="str">
        <f>IF(K60=0,"","Q"&amp;INT(4*( RANK(K60, IF($K$2:$K$269&lt;&gt;0, $K$2:$K$269), 0) - 1 ) / COUNTIF($K$2:$K$269,"&gt;0")) + 1)</f>
        <v/>
      </c>
    </row>
    <row r="61" spans="1:21" x14ac:dyDescent="0.2">
      <c r="A61" t="s">
        <v>123</v>
      </c>
      <c r="B61" s="2">
        <v>0</v>
      </c>
      <c r="C61" s="2">
        <v>0</v>
      </c>
      <c r="D61" s="2">
        <v>0.19047619047618999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t="str">
        <f>IF(B61=0,"","Q"&amp;INT(4*( RANK(B61, IF($B$2:$B$269&lt;&gt;0, $B$2:$B$269), 0) - 1 ) / COUNTIF($B$2:$B$269,"&gt;0")) + 1)</f>
        <v/>
      </c>
      <c r="M61" t="str">
        <f>IF(C61=0,"","Q"&amp;INT(4*( RANK(C61, IF($C$2:$C$269&lt;&gt;0, $C$2:$C$269), 0) - 1 ) / COUNTIF($C$2:$C$269,"&gt;0")) + 1)</f>
        <v/>
      </c>
      <c r="N61" t="str">
        <f>IF(D61=0,"","Q"&amp;INT(4*( RANK(D61, IF($D$2:$D$269&lt;&gt;0, $D$2:$D$269), 0) - 1 ) / COUNTIF($D$2:$D$269,"&gt;0")) + 1)</f>
        <v>Q2</v>
      </c>
      <c r="O61" t="str">
        <f>IF(E61=0,"","Q"&amp;INT(4*( RANK(E61, IF($E$2:$E$269&lt;&gt;0, $E$2:$E$269), 0) - 1 ) / COUNTIF($E$2:$E$269,"&gt;0")) + 1)</f>
        <v/>
      </c>
      <c r="P61" t="str">
        <f>IF(F61=0,"","Q"&amp;INT(4*( RANK(F61, IF($F$2:$F$269&lt;&gt;0, $F$2:$F$269), 0) - 1 ) / COUNTIF($F$2:$F$269,"&gt;0")) + 1)</f>
        <v/>
      </c>
      <c r="Q61" t="str">
        <f>IF(G61=0,"","Q"&amp;INT(4*( RANK(G61, IF($G$2:$G$269&lt;&gt;0, $G$2:$G$269), 0) - 1 ) / COUNTIF($G$2:$G$269,"&gt;0")) + 1)</f>
        <v/>
      </c>
      <c r="R61" t="str">
        <f>IF(H61=0,"","Q"&amp;INT(4*( RANK(H61, IF($H$2:$H$269&lt;&gt;0, $H$2:$H$269), 0) - 1 ) / COUNTIF($H$2:$H$269,"&gt;0")) + 1)</f>
        <v/>
      </c>
      <c r="S61" t="str">
        <f>IF(I61=0,"","Q"&amp;INT(4*( RANK(I61, IF($I$2:$I$269&lt;&gt;0, $I$2:$I$269), 0) - 1 ) / COUNTIF($I$2:$I$269,"&gt;0")) + 1)</f>
        <v/>
      </c>
      <c r="T61" t="str">
        <f>IF(J61=0,"","Q"&amp;INT(4*( RANK(J61, IF($J$2:$J$269&lt;&gt;0, $J$2:$J$269), 0) - 1 ) / COUNTIF($J$2:$J$269,"&gt;0")) + 1)</f>
        <v/>
      </c>
      <c r="U61" t="str">
        <f>IF(K61=0,"","Q"&amp;INT(4*( RANK(K61, IF($K$2:$K$269&lt;&gt;0, $K$2:$K$269), 0) - 1 ) / COUNTIF($K$2:$K$269,"&gt;0")) + 1)</f>
        <v/>
      </c>
    </row>
    <row r="62" spans="1:21" x14ac:dyDescent="0.2">
      <c r="A62" t="s">
        <v>945</v>
      </c>
      <c r="B62" s="2">
        <v>0</v>
      </c>
      <c r="C62" s="2">
        <v>0</v>
      </c>
      <c r="D62" s="2">
        <v>0</v>
      </c>
      <c r="E62" s="2">
        <v>8.4033613445378096E-3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t="str">
        <f>IF(B62=0,"","Q"&amp;INT(4*( RANK(B62, IF($B$2:$B$269&lt;&gt;0, $B$2:$B$269), 0) - 1 ) / COUNTIF($B$2:$B$269,"&gt;0")) + 1)</f>
        <v/>
      </c>
      <c r="M62" t="str">
        <f>IF(C62=0,"","Q"&amp;INT(4*( RANK(C62, IF($C$2:$C$269&lt;&gt;0, $C$2:$C$269), 0) - 1 ) / COUNTIF($C$2:$C$269,"&gt;0")) + 1)</f>
        <v/>
      </c>
      <c r="N62" t="str">
        <f>IF(D62=0,"","Q"&amp;INT(4*( RANK(D62, IF($D$2:$D$269&lt;&gt;0, $D$2:$D$269), 0) - 1 ) / COUNTIF($D$2:$D$269,"&gt;0")) + 1)</f>
        <v/>
      </c>
      <c r="O62" t="str">
        <f>IF(E62=0,"","Q"&amp;INT(4*( RANK(E62, IF($E$2:$E$269&lt;&gt;0, $E$2:$E$269), 0) - 1 ) / COUNTIF($E$2:$E$269,"&gt;0")) + 1)</f>
        <v>Q3</v>
      </c>
      <c r="P62" t="str">
        <f>IF(F62=0,"","Q"&amp;INT(4*( RANK(F62, IF($F$2:$F$269&lt;&gt;0, $F$2:$F$269), 0) - 1 ) / COUNTIF($F$2:$F$269,"&gt;0")) + 1)</f>
        <v/>
      </c>
      <c r="Q62" t="str">
        <f>IF(G62=0,"","Q"&amp;INT(4*( RANK(G62, IF($G$2:$G$269&lt;&gt;0, $G$2:$G$269), 0) - 1 ) / COUNTIF($G$2:$G$269,"&gt;0")) + 1)</f>
        <v/>
      </c>
      <c r="R62" t="str">
        <f>IF(H62=0,"","Q"&amp;INT(4*( RANK(H62, IF($H$2:$H$269&lt;&gt;0, $H$2:$H$269), 0) - 1 ) / COUNTIF($H$2:$H$269,"&gt;0")) + 1)</f>
        <v/>
      </c>
      <c r="S62" t="str">
        <f>IF(I62=0,"","Q"&amp;INT(4*( RANK(I62, IF($I$2:$I$269&lt;&gt;0, $I$2:$I$269), 0) - 1 ) / COUNTIF($I$2:$I$269,"&gt;0")) + 1)</f>
        <v/>
      </c>
      <c r="T62" t="str">
        <f>IF(J62=0,"","Q"&amp;INT(4*( RANK(J62, IF($J$2:$J$269&lt;&gt;0, $J$2:$J$269), 0) - 1 ) / COUNTIF($J$2:$J$269,"&gt;0")) + 1)</f>
        <v/>
      </c>
      <c r="U62" t="str">
        <f>IF(K62=0,"","Q"&amp;INT(4*( RANK(K62, IF($K$2:$K$269&lt;&gt;0, $K$2:$K$269), 0) - 1 ) / COUNTIF($K$2:$K$269,"&gt;0")) + 1)</f>
        <v/>
      </c>
    </row>
    <row r="63" spans="1:21" x14ac:dyDescent="0.2">
      <c r="A63" t="s">
        <v>1042</v>
      </c>
      <c r="B63" s="2">
        <v>0.4</v>
      </c>
      <c r="C63" s="2">
        <v>0</v>
      </c>
      <c r="D63" s="2">
        <v>0</v>
      </c>
      <c r="E63" s="2">
        <v>1.6806722689075598E-2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t="str">
        <f>IF(B63=0,"","Q"&amp;INT(4*( RANK(B63, IF($B$2:$B$269&lt;&gt;0, $B$2:$B$269), 0) - 1 ) / COUNTIF($B$2:$B$269,"&gt;0")) + 1)</f>
        <v>Q4</v>
      </c>
      <c r="M63" t="str">
        <f>IF(C63=0,"","Q"&amp;INT(4*( RANK(C63, IF($C$2:$C$269&lt;&gt;0, $C$2:$C$269), 0) - 1 ) / COUNTIF($C$2:$C$269,"&gt;0")) + 1)</f>
        <v/>
      </c>
      <c r="N63" t="str">
        <f>IF(D63=0,"","Q"&amp;INT(4*( RANK(D63, IF($D$2:$D$269&lt;&gt;0, $D$2:$D$269), 0) - 1 ) / COUNTIF($D$2:$D$269,"&gt;0")) + 1)</f>
        <v/>
      </c>
      <c r="O63" t="str">
        <f>IF(E63=0,"","Q"&amp;INT(4*( RANK(E63, IF($E$2:$E$269&lt;&gt;0, $E$2:$E$269), 0) - 1 ) / COUNTIF($E$2:$E$269,"&gt;0")) + 1)</f>
        <v>Q2</v>
      </c>
      <c r="P63" t="str">
        <f>IF(F63=0,"","Q"&amp;INT(4*( RANK(F63, IF($F$2:$F$269&lt;&gt;0, $F$2:$F$269), 0) - 1 ) / COUNTIF($F$2:$F$269,"&gt;0")) + 1)</f>
        <v/>
      </c>
      <c r="Q63" t="str">
        <f>IF(G63=0,"","Q"&amp;INT(4*( RANK(G63, IF($G$2:$G$269&lt;&gt;0, $G$2:$G$269), 0) - 1 ) / COUNTIF($G$2:$G$269,"&gt;0")) + 1)</f>
        <v/>
      </c>
      <c r="R63" t="str">
        <f>IF(H63=0,"","Q"&amp;INT(4*( RANK(H63, IF($H$2:$H$269&lt;&gt;0, $H$2:$H$269), 0) - 1 ) / COUNTIF($H$2:$H$269,"&gt;0")) + 1)</f>
        <v/>
      </c>
      <c r="S63" t="str">
        <f>IF(I63=0,"","Q"&amp;INT(4*( RANK(I63, IF($I$2:$I$269&lt;&gt;0, $I$2:$I$269), 0) - 1 ) / COUNTIF($I$2:$I$269,"&gt;0")) + 1)</f>
        <v/>
      </c>
      <c r="T63" t="str">
        <f>IF(J63=0,"","Q"&amp;INT(4*( RANK(J63, IF($J$2:$J$269&lt;&gt;0, $J$2:$J$269), 0) - 1 ) / COUNTIF($J$2:$J$269,"&gt;0")) + 1)</f>
        <v/>
      </c>
      <c r="U63" t="str">
        <f>IF(K63=0,"","Q"&amp;INT(4*( RANK(K63, IF($K$2:$K$269&lt;&gt;0, $K$2:$K$269), 0) - 1 ) / COUNTIF($K$2:$K$269,"&gt;0")) + 1)</f>
        <v/>
      </c>
    </row>
    <row r="64" spans="1:21" x14ac:dyDescent="0.2">
      <c r="A64" t="s">
        <v>126</v>
      </c>
      <c r="B64" s="2">
        <v>0</v>
      </c>
      <c r="C64" s="2">
        <v>0</v>
      </c>
      <c r="D64" s="2">
        <v>0</v>
      </c>
      <c r="E64" s="2">
        <v>2.5210084033613401E-2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t="str">
        <f>IF(B64=0,"","Q"&amp;INT(4*( RANK(B64, IF($B$2:$B$269&lt;&gt;0, $B$2:$B$269), 0) - 1 ) / COUNTIF($B$2:$B$269,"&gt;0")) + 1)</f>
        <v/>
      </c>
      <c r="M64" t="str">
        <f>IF(C64=0,"","Q"&amp;INT(4*( RANK(C64, IF($C$2:$C$269&lt;&gt;0, $C$2:$C$269), 0) - 1 ) / COUNTIF($C$2:$C$269,"&gt;0")) + 1)</f>
        <v/>
      </c>
      <c r="N64" t="str">
        <f>IF(D64=0,"","Q"&amp;INT(4*( RANK(D64, IF($D$2:$D$269&lt;&gt;0, $D$2:$D$269), 0) - 1 ) / COUNTIF($D$2:$D$269,"&gt;0")) + 1)</f>
        <v/>
      </c>
      <c r="O64" t="str">
        <f>IF(E64=0,"","Q"&amp;INT(4*( RANK(E64, IF($E$2:$E$269&lt;&gt;0, $E$2:$E$269), 0) - 1 ) / COUNTIF($E$2:$E$269,"&gt;0")) + 1)</f>
        <v>Q1</v>
      </c>
      <c r="P64" t="str">
        <f>IF(F64=0,"","Q"&amp;INT(4*( RANK(F64, IF($F$2:$F$269&lt;&gt;0, $F$2:$F$269), 0) - 1 ) / COUNTIF($F$2:$F$269,"&gt;0")) + 1)</f>
        <v/>
      </c>
      <c r="Q64" t="str">
        <f>IF(G64=0,"","Q"&amp;INT(4*( RANK(G64, IF($G$2:$G$269&lt;&gt;0, $G$2:$G$269), 0) - 1 ) / COUNTIF($G$2:$G$269,"&gt;0")) + 1)</f>
        <v/>
      </c>
      <c r="R64" t="str">
        <f>IF(H64=0,"","Q"&amp;INT(4*( RANK(H64, IF($H$2:$H$269&lt;&gt;0, $H$2:$H$269), 0) - 1 ) / COUNTIF($H$2:$H$269,"&gt;0")) + 1)</f>
        <v/>
      </c>
      <c r="S64" t="str">
        <f>IF(I64=0,"","Q"&amp;INT(4*( RANK(I64, IF($I$2:$I$269&lt;&gt;0, $I$2:$I$269), 0) - 1 ) / COUNTIF($I$2:$I$269,"&gt;0")) + 1)</f>
        <v/>
      </c>
      <c r="T64" t="str">
        <f>IF(J64=0,"","Q"&amp;INT(4*( RANK(J64, IF($J$2:$J$269&lt;&gt;0, $J$2:$J$269), 0) - 1 ) / COUNTIF($J$2:$J$269,"&gt;0")) + 1)</f>
        <v/>
      </c>
      <c r="U64" t="str">
        <f>IF(K64=0,"","Q"&amp;INT(4*( RANK(K64, IF($K$2:$K$269&lt;&gt;0, $K$2:$K$269), 0) - 1 ) / COUNTIF($K$2:$K$269,"&gt;0")) + 1)</f>
        <v/>
      </c>
    </row>
    <row r="65" spans="1:21" x14ac:dyDescent="0.2">
      <c r="A65" t="s">
        <v>1043</v>
      </c>
      <c r="B65" s="2">
        <v>0</v>
      </c>
      <c r="C65" s="2">
        <v>0</v>
      </c>
      <c r="D65" s="2">
        <v>0</v>
      </c>
      <c r="E65" s="2">
        <v>1.6806722689075598E-2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t="str">
        <f>IF(B65=0,"","Q"&amp;INT(4*( RANK(B65, IF($B$2:$B$269&lt;&gt;0, $B$2:$B$269), 0) - 1 ) / COUNTIF($B$2:$B$269,"&gt;0")) + 1)</f>
        <v/>
      </c>
      <c r="M65" t="str">
        <f>IF(C65=0,"","Q"&amp;INT(4*( RANK(C65, IF($C$2:$C$269&lt;&gt;0, $C$2:$C$269), 0) - 1 ) / COUNTIF($C$2:$C$269,"&gt;0")) + 1)</f>
        <v/>
      </c>
      <c r="N65" t="str">
        <f>IF(D65=0,"","Q"&amp;INT(4*( RANK(D65, IF($D$2:$D$269&lt;&gt;0, $D$2:$D$269), 0) - 1 ) / COUNTIF($D$2:$D$269,"&gt;0")) + 1)</f>
        <v/>
      </c>
      <c r="O65" t="str">
        <f>IF(E65=0,"","Q"&amp;INT(4*( RANK(E65, IF($E$2:$E$269&lt;&gt;0, $E$2:$E$269), 0) - 1 ) / COUNTIF($E$2:$E$269,"&gt;0")) + 1)</f>
        <v>Q2</v>
      </c>
      <c r="P65" t="str">
        <f>IF(F65=0,"","Q"&amp;INT(4*( RANK(F65, IF($F$2:$F$269&lt;&gt;0, $F$2:$F$269), 0) - 1 ) / COUNTIF($F$2:$F$269,"&gt;0")) + 1)</f>
        <v/>
      </c>
      <c r="Q65" t="str">
        <f>IF(G65=0,"","Q"&amp;INT(4*( RANK(G65, IF($G$2:$G$269&lt;&gt;0, $G$2:$G$269), 0) - 1 ) / COUNTIF($G$2:$G$269,"&gt;0")) + 1)</f>
        <v/>
      </c>
      <c r="R65" t="str">
        <f>IF(H65=0,"","Q"&amp;INT(4*( RANK(H65, IF($H$2:$H$269&lt;&gt;0, $H$2:$H$269), 0) - 1 ) / COUNTIF($H$2:$H$269,"&gt;0")) + 1)</f>
        <v/>
      </c>
      <c r="S65" t="str">
        <f>IF(I65=0,"","Q"&amp;INT(4*( RANK(I65, IF($I$2:$I$269&lt;&gt;0, $I$2:$I$269), 0) - 1 ) / COUNTIF($I$2:$I$269,"&gt;0")) + 1)</f>
        <v/>
      </c>
      <c r="T65" t="str">
        <f>IF(J65=0,"","Q"&amp;INT(4*( RANK(J65, IF($J$2:$J$269&lt;&gt;0, $J$2:$J$269), 0) - 1 ) / COUNTIF($J$2:$J$269,"&gt;0")) + 1)</f>
        <v/>
      </c>
      <c r="U65" t="str">
        <f>IF(K65=0,"","Q"&amp;INT(4*( RANK(K65, IF($K$2:$K$269&lt;&gt;0, $K$2:$K$269), 0) - 1 ) / COUNTIF($K$2:$K$269,"&gt;0")) + 1)</f>
        <v/>
      </c>
    </row>
    <row r="66" spans="1:21" x14ac:dyDescent="0.2">
      <c r="A66" s="8" t="s">
        <v>135</v>
      </c>
      <c r="B66" s="2">
        <v>1.2</v>
      </c>
      <c r="C66" s="2">
        <v>0.3</v>
      </c>
      <c r="D66" s="2">
        <v>0</v>
      </c>
      <c r="E66" s="2">
        <v>0.13400000000000001</v>
      </c>
      <c r="F66" s="2">
        <v>0.38461538461538403</v>
      </c>
      <c r="G66" s="2">
        <v>0</v>
      </c>
      <c r="H66" s="2">
        <v>0</v>
      </c>
      <c r="I66" s="2">
        <v>0</v>
      </c>
      <c r="J66" s="2">
        <v>9.3023255813953404E-2</v>
      </c>
      <c r="K66" s="2">
        <v>0</v>
      </c>
      <c r="L66" t="str">
        <f>IF(B66=0,"","Q"&amp;INT(4*( RANK(B66, IF($B$2:$B$269&lt;&gt;0, $B$2:$B$269), 0) - 1 ) / COUNTIF($B$2:$B$269,"&gt;0")) + 1)</f>
        <v>Q1</v>
      </c>
      <c r="M66" t="str">
        <f>IF(C66=0,"","Q"&amp;INT(4*( RANK(C66, IF($C$2:$C$269&lt;&gt;0, $C$2:$C$269), 0) - 1 ) / COUNTIF($C$2:$C$269,"&gt;0")) + 1)</f>
        <v>Q2</v>
      </c>
      <c r="N66" t="str">
        <f>IF(D66=0,"","Q"&amp;INT(4*( RANK(D66, IF($D$2:$D$269&lt;&gt;0, $D$2:$D$269), 0) - 1 ) / COUNTIF($D$2:$D$269,"&gt;0")) + 1)</f>
        <v/>
      </c>
      <c r="O66" t="str">
        <f>IF(E66=0,"","Q"&amp;INT(4*( RANK(E66, IF($E$2:$E$269&lt;&gt;0, $E$2:$E$269), 0) - 1 ) / COUNTIF($E$2:$E$269,"&gt;0")) + 1)</f>
        <v>Q1</v>
      </c>
      <c r="P66" t="str">
        <f>IF(F66=0,"","Q"&amp;INT(4*( RANK(F66, IF($F$2:$F$269&lt;&gt;0, $F$2:$F$269), 0) - 1 ) / COUNTIF($F$2:$F$269,"&gt;0")) + 1)</f>
        <v>Q1</v>
      </c>
      <c r="Q66" t="str">
        <f>IF(G66=0,"","Q"&amp;INT(4*( RANK(G66, IF($G$2:$G$269&lt;&gt;0, $G$2:$G$269), 0) - 1 ) / COUNTIF($G$2:$G$269,"&gt;0")) + 1)</f>
        <v/>
      </c>
      <c r="R66" t="str">
        <f>IF(H66=0,"","Q"&amp;INT(4*( RANK(H66, IF($H$2:$H$269&lt;&gt;0, $H$2:$H$269), 0) - 1 ) / COUNTIF($H$2:$H$269,"&gt;0")) + 1)</f>
        <v/>
      </c>
      <c r="S66" t="str">
        <f>IF(I66=0,"","Q"&amp;INT(4*( RANK(I66, IF($I$2:$I$269&lt;&gt;0, $I$2:$I$269), 0) - 1 ) / COUNTIF($I$2:$I$269,"&gt;0")) + 1)</f>
        <v/>
      </c>
      <c r="T66" t="str">
        <f>IF(J66=0,"","Q"&amp;INT(4*( RANK(J66, IF($J$2:$J$269&lt;&gt;0, $J$2:$J$269), 0) - 1 ) / COUNTIF($J$2:$J$269,"&gt;0")) + 1)</f>
        <v>Q2</v>
      </c>
      <c r="U66" t="str">
        <f>IF(K66=0,"","Q"&amp;INT(4*( RANK(K66, IF($K$2:$K$269&lt;&gt;0, $K$2:$K$269), 0) - 1 ) / COUNTIF($K$2:$K$269,"&gt;0")) + 1)</f>
        <v/>
      </c>
    </row>
    <row r="67" spans="1:21" x14ac:dyDescent="0.2">
      <c r="A67" t="s">
        <v>946</v>
      </c>
      <c r="B67" s="2">
        <v>0</v>
      </c>
      <c r="C67" s="2">
        <v>0</v>
      </c>
      <c r="D67" s="2">
        <v>9.5238095238095205E-2</v>
      </c>
      <c r="E67" s="2">
        <v>8.4033613445378096E-3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t="str">
        <f>IF(B67=0,"","Q"&amp;INT(4*( RANK(B67, IF($B$2:$B$269&lt;&gt;0, $B$2:$B$269), 0) - 1 ) / COUNTIF($B$2:$B$269,"&gt;0")) + 1)</f>
        <v/>
      </c>
      <c r="M67" t="str">
        <f>IF(C67=0,"","Q"&amp;INT(4*( RANK(C67, IF($C$2:$C$269&lt;&gt;0, $C$2:$C$269), 0) - 1 ) / COUNTIF($C$2:$C$269,"&gt;0")) + 1)</f>
        <v/>
      </c>
      <c r="N67" t="str">
        <f>IF(D67=0,"","Q"&amp;INT(4*( RANK(D67, IF($D$2:$D$269&lt;&gt;0, $D$2:$D$269), 0) - 1 ) / COUNTIF($D$2:$D$269,"&gt;0")) + 1)</f>
        <v>Q3</v>
      </c>
      <c r="O67" t="str">
        <f>IF(E67=0,"","Q"&amp;INT(4*( RANK(E67, IF($E$2:$E$269&lt;&gt;0, $E$2:$E$269), 0) - 1 ) / COUNTIF($E$2:$E$269,"&gt;0")) + 1)</f>
        <v>Q3</v>
      </c>
      <c r="P67" t="str">
        <f>IF(F67=0,"","Q"&amp;INT(4*( RANK(F67, IF($F$2:$F$269&lt;&gt;0, $F$2:$F$269), 0) - 1 ) / COUNTIF($F$2:$F$269,"&gt;0")) + 1)</f>
        <v/>
      </c>
      <c r="Q67" t="str">
        <f>IF(G67=0,"","Q"&amp;INT(4*( RANK(G67, IF($G$2:$G$269&lt;&gt;0, $G$2:$G$269), 0) - 1 ) / COUNTIF($G$2:$G$269,"&gt;0")) + 1)</f>
        <v/>
      </c>
      <c r="R67" t="str">
        <f>IF(H67=0,"","Q"&amp;INT(4*( RANK(H67, IF($H$2:$H$269&lt;&gt;0, $H$2:$H$269), 0) - 1 ) / COUNTIF($H$2:$H$269,"&gt;0")) + 1)</f>
        <v/>
      </c>
      <c r="S67" t="str">
        <f>IF(I67=0,"","Q"&amp;INT(4*( RANK(I67, IF($I$2:$I$269&lt;&gt;0, $I$2:$I$269), 0) - 1 ) / COUNTIF($I$2:$I$269,"&gt;0")) + 1)</f>
        <v/>
      </c>
      <c r="T67" t="str">
        <f>IF(J67=0,"","Q"&amp;INT(4*( RANK(J67, IF($J$2:$J$269&lt;&gt;0, $J$2:$J$269), 0) - 1 ) / COUNTIF($J$2:$J$269,"&gt;0")) + 1)</f>
        <v/>
      </c>
      <c r="U67" t="str">
        <f>IF(K67=0,"","Q"&amp;INT(4*( RANK(K67, IF($K$2:$K$269&lt;&gt;0, $K$2:$K$269), 0) - 1 ) / COUNTIF($K$2:$K$269,"&gt;0")) + 1)</f>
        <v/>
      </c>
    </row>
    <row r="68" spans="1:21" x14ac:dyDescent="0.2">
      <c r="A68" s="8" t="s">
        <v>136</v>
      </c>
      <c r="B68" s="2">
        <v>0</v>
      </c>
      <c r="C68" s="2">
        <v>0.3</v>
      </c>
      <c r="D68" s="2">
        <v>0.33333333333333298</v>
      </c>
      <c r="E68" s="2">
        <v>0.113</v>
      </c>
      <c r="F68" s="2">
        <v>0.192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tr">
        <f>IF(B68=0,"","Q"&amp;INT(4*( RANK(B68, IF($B$2:$B$269&lt;&gt;0, $B$2:$B$269), 0) - 1 ) / COUNTIF($B$2:$B$269,"&gt;0")) + 1)</f>
        <v/>
      </c>
      <c r="M68" t="str">
        <f>IF(C68=0,"","Q"&amp;INT(4*( RANK(C68, IF($C$2:$C$269&lt;&gt;0, $C$2:$C$269), 0) - 1 ) / COUNTIF($C$2:$C$269,"&gt;0")) + 1)</f>
        <v>Q2</v>
      </c>
      <c r="N68" t="str">
        <f>IF(D68=0,"","Q"&amp;INT(4*( RANK(D68, IF($D$2:$D$269&lt;&gt;0, $D$2:$D$269), 0) - 1 ) / COUNTIF($D$2:$D$269,"&gt;0")) + 1)</f>
        <v>Q1</v>
      </c>
      <c r="O68" t="str">
        <f>IF(E68=0,"","Q"&amp;INT(4*( RANK(E68, IF($E$2:$E$269&lt;&gt;0, $E$2:$E$269), 0) - 1 ) / COUNTIF($E$2:$E$269,"&gt;0")) + 1)</f>
        <v>Q1</v>
      </c>
      <c r="P68" t="str">
        <f>IF(F68=0,"","Q"&amp;INT(4*( RANK(F68, IF($F$2:$F$269&lt;&gt;0, $F$2:$F$269), 0) - 1 ) / COUNTIF($F$2:$F$269,"&gt;0")) + 1)</f>
        <v>Q1</v>
      </c>
      <c r="Q68" t="str">
        <f>IF(G68=0,"","Q"&amp;INT(4*( RANK(G68, IF($G$2:$G$269&lt;&gt;0, $G$2:$G$269), 0) - 1 ) / COUNTIF($G$2:$G$269,"&gt;0")) + 1)</f>
        <v/>
      </c>
      <c r="R68" t="str">
        <f>IF(H68=0,"","Q"&amp;INT(4*( RANK(H68, IF($H$2:$H$269&lt;&gt;0, $H$2:$H$269), 0) - 1 ) / COUNTIF($H$2:$H$269,"&gt;0")) + 1)</f>
        <v/>
      </c>
      <c r="S68" t="str">
        <f>IF(I68=0,"","Q"&amp;INT(4*( RANK(I68, IF($I$2:$I$269&lt;&gt;0, $I$2:$I$269), 0) - 1 ) / COUNTIF($I$2:$I$269,"&gt;0")) + 1)</f>
        <v/>
      </c>
      <c r="T68" t="str">
        <f>IF(J68=0,"","Q"&amp;INT(4*( RANK(J68, IF($J$2:$J$269&lt;&gt;0, $J$2:$J$269), 0) - 1 ) / COUNTIF($J$2:$J$269,"&gt;0")) + 1)</f>
        <v/>
      </c>
      <c r="U68" t="str">
        <f>IF(K68=0,"","Q"&amp;INT(4*( RANK(K68, IF($K$2:$K$269&lt;&gt;0, $K$2:$K$269), 0) - 1 ) / COUNTIF($K$2:$K$269,"&gt;0")) + 1)</f>
        <v/>
      </c>
    </row>
    <row r="69" spans="1:21" x14ac:dyDescent="0.2">
      <c r="A69" t="s">
        <v>947</v>
      </c>
      <c r="B69" s="2">
        <v>0</v>
      </c>
      <c r="C69" s="2">
        <v>0</v>
      </c>
      <c r="D69" s="2">
        <v>0.14285714285714199</v>
      </c>
      <c r="E69" s="2">
        <v>5.4621848739495799E-2</v>
      </c>
      <c r="F69" s="2">
        <v>0.269230769230769</v>
      </c>
      <c r="G69" s="2">
        <v>0</v>
      </c>
      <c r="H69" s="2">
        <v>0.44444444444444398</v>
      </c>
      <c r="I69" s="2">
        <v>0</v>
      </c>
      <c r="J69" s="2">
        <v>0</v>
      </c>
      <c r="K69" s="2">
        <v>0</v>
      </c>
      <c r="L69" t="str">
        <f>IF(B69=0,"","Q"&amp;INT(4*( RANK(B69, IF($B$2:$B$269&lt;&gt;0, $B$2:$B$269), 0) - 1 ) / COUNTIF($B$2:$B$269,"&gt;0")) + 1)</f>
        <v/>
      </c>
      <c r="M69" t="str">
        <f>IF(C69=0,"","Q"&amp;INT(4*( RANK(C69, IF($C$2:$C$269&lt;&gt;0, $C$2:$C$269), 0) - 1 ) / COUNTIF($C$2:$C$269,"&gt;0")) + 1)</f>
        <v/>
      </c>
      <c r="N69" t="str">
        <f>IF(D69=0,"","Q"&amp;INT(4*( RANK(D69, IF($D$2:$D$269&lt;&gt;0, $D$2:$D$269), 0) - 1 ) / COUNTIF($D$2:$D$269,"&gt;0")) + 1)</f>
        <v>Q3</v>
      </c>
      <c r="O69" t="str">
        <f>IF(E69=0,"","Q"&amp;INT(4*( RANK(E69, IF($E$2:$E$269&lt;&gt;0, $E$2:$E$269), 0) - 1 ) / COUNTIF($E$2:$E$269,"&gt;0")) + 1)</f>
        <v>Q1</v>
      </c>
      <c r="P69" t="str">
        <f>IF(F69=0,"","Q"&amp;INT(4*( RANK(F69, IF($F$2:$F$269&lt;&gt;0, $F$2:$F$269), 0) - 1 ) / COUNTIF($F$2:$F$269,"&gt;0")) + 1)</f>
        <v>Q1</v>
      </c>
      <c r="Q69" t="str">
        <f>IF(G69=0,"","Q"&amp;INT(4*( RANK(G69, IF($G$2:$G$269&lt;&gt;0, $G$2:$G$269), 0) - 1 ) / COUNTIF($G$2:$G$269,"&gt;0")) + 1)</f>
        <v/>
      </c>
      <c r="R69" t="str">
        <f>IF(H69=0,"","Q"&amp;INT(4*( RANK(H69, IF($H$2:$H$269&lt;&gt;0, $H$2:$H$269), 0) - 1 ) / COUNTIF($H$2:$H$269,"&gt;0")) + 1)</f>
        <v>Q1</v>
      </c>
      <c r="S69" t="str">
        <f>IF(I69=0,"","Q"&amp;INT(4*( RANK(I69, IF($I$2:$I$269&lt;&gt;0, $I$2:$I$269), 0) - 1 ) / COUNTIF($I$2:$I$269,"&gt;0")) + 1)</f>
        <v/>
      </c>
      <c r="T69" t="str">
        <f>IF(J69=0,"","Q"&amp;INT(4*( RANK(J69, IF($J$2:$J$269&lt;&gt;0, $J$2:$J$269), 0) - 1 ) / COUNTIF($J$2:$J$269,"&gt;0")) + 1)</f>
        <v/>
      </c>
      <c r="U69" t="str">
        <f>IF(K69=0,"","Q"&amp;INT(4*( RANK(K69, IF($K$2:$K$269&lt;&gt;0, $K$2:$K$269), 0) - 1 ) / COUNTIF($K$2:$K$269,"&gt;0")) + 1)</f>
        <v/>
      </c>
    </row>
    <row r="70" spans="1:21" x14ac:dyDescent="0.2">
      <c r="A70" t="s">
        <v>948</v>
      </c>
      <c r="B70" s="2">
        <v>0</v>
      </c>
      <c r="C70" s="2">
        <v>0</v>
      </c>
      <c r="D70" s="2">
        <v>0</v>
      </c>
      <c r="E70" s="2">
        <v>8.4033613445378096E-3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t="str">
        <f>IF(B70=0,"","Q"&amp;INT(4*( RANK(B70, IF($B$2:$B$269&lt;&gt;0, $B$2:$B$269), 0) - 1 ) / COUNTIF($B$2:$B$269,"&gt;0")) + 1)</f>
        <v/>
      </c>
      <c r="M70" t="str">
        <f>IF(C70=0,"","Q"&amp;INT(4*( RANK(C70, IF($C$2:$C$269&lt;&gt;0, $C$2:$C$269), 0) - 1 ) / COUNTIF($C$2:$C$269,"&gt;0")) + 1)</f>
        <v/>
      </c>
      <c r="N70" t="str">
        <f>IF(D70=0,"","Q"&amp;INT(4*( RANK(D70, IF($D$2:$D$269&lt;&gt;0, $D$2:$D$269), 0) - 1 ) / COUNTIF($D$2:$D$269,"&gt;0")) + 1)</f>
        <v/>
      </c>
      <c r="O70" t="str">
        <f>IF(E70=0,"","Q"&amp;INT(4*( RANK(E70, IF($E$2:$E$269&lt;&gt;0, $E$2:$E$269), 0) - 1 ) / COUNTIF($E$2:$E$269,"&gt;0")) + 1)</f>
        <v>Q3</v>
      </c>
      <c r="P70" t="str">
        <f>IF(F70=0,"","Q"&amp;INT(4*( RANK(F70, IF($F$2:$F$269&lt;&gt;0, $F$2:$F$269), 0) - 1 ) / COUNTIF($F$2:$F$269,"&gt;0")) + 1)</f>
        <v/>
      </c>
      <c r="Q70" t="str">
        <f>IF(G70=0,"","Q"&amp;INT(4*( RANK(G70, IF($G$2:$G$269&lt;&gt;0, $G$2:$G$269), 0) - 1 ) / COUNTIF($G$2:$G$269,"&gt;0")) + 1)</f>
        <v/>
      </c>
      <c r="R70" t="str">
        <f>IF(H70=0,"","Q"&amp;INT(4*( RANK(H70, IF($H$2:$H$269&lt;&gt;0, $H$2:$H$269), 0) - 1 ) / COUNTIF($H$2:$H$269,"&gt;0")) + 1)</f>
        <v/>
      </c>
      <c r="S70" t="str">
        <f>IF(I70=0,"","Q"&amp;INT(4*( RANK(I70, IF($I$2:$I$269&lt;&gt;0, $I$2:$I$269), 0) - 1 ) / COUNTIF($I$2:$I$269,"&gt;0")) + 1)</f>
        <v/>
      </c>
      <c r="T70" t="str">
        <f>IF(J70=0,"","Q"&amp;INT(4*( RANK(J70, IF($J$2:$J$269&lt;&gt;0, $J$2:$J$269), 0) - 1 ) / COUNTIF($J$2:$J$269,"&gt;0")) + 1)</f>
        <v/>
      </c>
      <c r="U70" t="str">
        <f>IF(K70=0,"","Q"&amp;INT(4*( RANK(K70, IF($K$2:$K$269&lt;&gt;0, $K$2:$K$269), 0) - 1 ) / COUNTIF($K$2:$K$269,"&gt;0")) + 1)</f>
        <v/>
      </c>
    </row>
    <row r="71" spans="1:21" x14ac:dyDescent="0.2">
      <c r="A71" s="8" t="s">
        <v>137</v>
      </c>
      <c r="B71" s="2">
        <v>0</v>
      </c>
      <c r="C71" s="2">
        <v>0</v>
      </c>
      <c r="D71" s="2">
        <v>0</v>
      </c>
      <c r="E71" s="2">
        <v>8.4033613445378096E-3</v>
      </c>
      <c r="F71" s="2">
        <v>0</v>
      </c>
      <c r="G71" s="2">
        <v>0</v>
      </c>
      <c r="H71" s="2">
        <v>0</v>
      </c>
      <c r="I71" s="2">
        <v>0</v>
      </c>
      <c r="J71" s="2">
        <v>0.14000000000000001</v>
      </c>
      <c r="K71" s="2">
        <v>0</v>
      </c>
      <c r="L71" t="str">
        <f>IF(B71=0,"","Q"&amp;INT(4*( RANK(B71, IF($B$2:$B$269&lt;&gt;0, $B$2:$B$269), 0) - 1 ) / COUNTIF($B$2:$B$269,"&gt;0")) + 1)</f>
        <v/>
      </c>
      <c r="M71" t="str">
        <f>IF(C71=0,"","Q"&amp;INT(4*( RANK(C71, IF($C$2:$C$269&lt;&gt;0, $C$2:$C$269), 0) - 1 ) / COUNTIF($C$2:$C$269,"&gt;0")) + 1)</f>
        <v/>
      </c>
      <c r="N71" t="str">
        <f>IF(D71=0,"","Q"&amp;INT(4*( RANK(D71, IF($D$2:$D$269&lt;&gt;0, $D$2:$D$269), 0) - 1 ) / COUNTIF($D$2:$D$269,"&gt;0")) + 1)</f>
        <v/>
      </c>
      <c r="O71" t="str">
        <f>IF(E71=0,"","Q"&amp;INT(4*( RANK(E71, IF($E$2:$E$269&lt;&gt;0, $E$2:$E$269), 0) - 1 ) / COUNTIF($E$2:$E$269,"&gt;0")) + 1)</f>
        <v>Q3</v>
      </c>
      <c r="P71" t="str">
        <f>IF(F71=0,"","Q"&amp;INT(4*( RANK(F71, IF($F$2:$F$269&lt;&gt;0, $F$2:$F$269), 0) - 1 ) / COUNTIF($F$2:$F$269,"&gt;0")) + 1)</f>
        <v/>
      </c>
      <c r="Q71" t="str">
        <f>IF(G71=0,"","Q"&amp;INT(4*( RANK(G71, IF($G$2:$G$269&lt;&gt;0, $G$2:$G$269), 0) - 1 ) / COUNTIF($G$2:$G$269,"&gt;0")) + 1)</f>
        <v/>
      </c>
      <c r="R71" t="str">
        <f>IF(H71=0,"","Q"&amp;INT(4*( RANK(H71, IF($H$2:$H$269&lt;&gt;0, $H$2:$H$269), 0) - 1 ) / COUNTIF($H$2:$H$269,"&gt;0")) + 1)</f>
        <v/>
      </c>
      <c r="S71" t="str">
        <f>IF(I71=0,"","Q"&amp;INT(4*( RANK(I71, IF($I$2:$I$269&lt;&gt;0, $I$2:$I$269), 0) - 1 ) / COUNTIF($I$2:$I$269,"&gt;0")) + 1)</f>
        <v/>
      </c>
      <c r="T71" t="str">
        <f>IF(J71=0,"","Q"&amp;INT(4*( RANK(J71, IF($J$2:$J$269&lt;&gt;0, $J$2:$J$269), 0) - 1 ) / COUNTIF($J$2:$J$269,"&gt;0")) + 1)</f>
        <v>Q2</v>
      </c>
      <c r="U71" t="str">
        <f>IF(K71=0,"","Q"&amp;INT(4*( RANK(K71, IF($K$2:$K$269&lt;&gt;0, $K$2:$K$269), 0) - 1 ) / COUNTIF($K$2:$K$269,"&gt;0")) + 1)</f>
        <v/>
      </c>
    </row>
    <row r="72" spans="1:21" x14ac:dyDescent="0.2">
      <c r="A72" s="8" t="s">
        <v>138</v>
      </c>
      <c r="B72" s="2">
        <v>0</v>
      </c>
      <c r="C72" s="2">
        <v>0</v>
      </c>
      <c r="D72" s="2">
        <v>0</v>
      </c>
      <c r="E72" s="2">
        <v>2.5999999999999999E-2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t="str">
        <f>IF(B72=0,"","Q"&amp;INT(4*( RANK(B72, IF($B$2:$B$269&lt;&gt;0, $B$2:$B$269), 0) - 1 ) / COUNTIF($B$2:$B$269,"&gt;0")) + 1)</f>
        <v/>
      </c>
      <c r="M72" t="str">
        <f>IF(C72=0,"","Q"&amp;INT(4*( RANK(C72, IF($C$2:$C$269&lt;&gt;0, $C$2:$C$269), 0) - 1 ) / COUNTIF($C$2:$C$269,"&gt;0")) + 1)</f>
        <v/>
      </c>
      <c r="N72" t="str">
        <f>IF(D72=0,"","Q"&amp;INT(4*( RANK(D72, IF($D$2:$D$269&lt;&gt;0, $D$2:$D$269), 0) - 1 ) / COUNTIF($D$2:$D$269,"&gt;0")) + 1)</f>
        <v/>
      </c>
      <c r="O72" t="str">
        <f>IF(E72=0,"","Q"&amp;INT(4*( RANK(E72, IF($E$2:$E$269&lt;&gt;0, $E$2:$E$269), 0) - 1 ) / COUNTIF($E$2:$E$269,"&gt;0")) + 1)</f>
        <v>Q1</v>
      </c>
      <c r="P72" t="str">
        <f>IF(F72=0,"","Q"&amp;INT(4*( RANK(F72, IF($F$2:$F$269&lt;&gt;0, $F$2:$F$269), 0) - 1 ) / COUNTIF($F$2:$F$269,"&gt;0")) + 1)</f>
        <v/>
      </c>
      <c r="Q72" t="str">
        <f>IF(G72=0,"","Q"&amp;INT(4*( RANK(G72, IF($G$2:$G$269&lt;&gt;0, $G$2:$G$269), 0) - 1 ) / COUNTIF($G$2:$G$269,"&gt;0")) + 1)</f>
        <v/>
      </c>
      <c r="R72" t="str">
        <f>IF(H72=0,"","Q"&amp;INT(4*( RANK(H72, IF($H$2:$H$269&lt;&gt;0, $H$2:$H$269), 0) - 1 ) / COUNTIF($H$2:$H$269,"&gt;0")) + 1)</f>
        <v/>
      </c>
      <c r="S72" t="str">
        <f>IF(I72=0,"","Q"&amp;INT(4*( RANK(I72, IF($I$2:$I$269&lt;&gt;0, $I$2:$I$269), 0) - 1 ) / COUNTIF($I$2:$I$269,"&gt;0")) + 1)</f>
        <v/>
      </c>
      <c r="T72" t="str">
        <f>IF(J72=0,"","Q"&amp;INT(4*( RANK(J72, IF($J$2:$J$269&lt;&gt;0, $J$2:$J$269), 0) - 1 ) / COUNTIF($J$2:$J$269,"&gt;0")) + 1)</f>
        <v/>
      </c>
      <c r="U72" t="str">
        <f>IF(K72=0,"","Q"&amp;INT(4*( RANK(K72, IF($K$2:$K$269&lt;&gt;0, $K$2:$K$269), 0) - 1 ) / COUNTIF($K$2:$K$269,"&gt;0")) + 1)</f>
        <v/>
      </c>
    </row>
    <row r="73" spans="1:21" x14ac:dyDescent="0.2">
      <c r="A73" t="s">
        <v>1044</v>
      </c>
      <c r="B73" s="2">
        <v>0</v>
      </c>
      <c r="C73" s="2">
        <v>0</v>
      </c>
      <c r="D73" s="2">
        <v>0</v>
      </c>
      <c r="E73" s="2">
        <v>2.5210084033613401E-2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t="str">
        <f>IF(B73=0,"","Q"&amp;INT(4*( RANK(B73, IF($B$2:$B$269&lt;&gt;0, $B$2:$B$269), 0) - 1 ) / COUNTIF($B$2:$B$269,"&gt;0")) + 1)</f>
        <v/>
      </c>
      <c r="M73" t="str">
        <f>IF(C73=0,"","Q"&amp;INT(4*( RANK(C73, IF($C$2:$C$269&lt;&gt;0, $C$2:$C$269), 0) - 1 ) / COUNTIF($C$2:$C$269,"&gt;0")) + 1)</f>
        <v/>
      </c>
      <c r="N73" t="str">
        <f>IF(D73=0,"","Q"&amp;INT(4*( RANK(D73, IF($D$2:$D$269&lt;&gt;0, $D$2:$D$269), 0) - 1 ) / COUNTIF($D$2:$D$269,"&gt;0")) + 1)</f>
        <v/>
      </c>
      <c r="O73" t="str">
        <f>IF(E73=0,"","Q"&amp;INT(4*( RANK(E73, IF($E$2:$E$269&lt;&gt;0, $E$2:$E$269), 0) - 1 ) / COUNTIF($E$2:$E$269,"&gt;0")) + 1)</f>
        <v>Q1</v>
      </c>
      <c r="P73" t="str">
        <f>IF(F73=0,"","Q"&amp;INT(4*( RANK(F73, IF($F$2:$F$269&lt;&gt;0, $F$2:$F$269), 0) - 1 ) / COUNTIF($F$2:$F$269,"&gt;0")) + 1)</f>
        <v/>
      </c>
      <c r="Q73" t="str">
        <f>IF(G73=0,"","Q"&amp;INT(4*( RANK(G73, IF($G$2:$G$269&lt;&gt;0, $G$2:$G$269), 0) - 1 ) / COUNTIF($G$2:$G$269,"&gt;0")) + 1)</f>
        <v/>
      </c>
      <c r="R73" t="str">
        <f>IF(H73=0,"","Q"&amp;INT(4*( RANK(H73, IF($H$2:$H$269&lt;&gt;0, $H$2:$H$269), 0) - 1 ) / COUNTIF($H$2:$H$269,"&gt;0")) + 1)</f>
        <v/>
      </c>
      <c r="S73" t="str">
        <f>IF(I73=0,"","Q"&amp;INT(4*( RANK(I73, IF($I$2:$I$269&lt;&gt;0, $I$2:$I$269), 0) - 1 ) / COUNTIF($I$2:$I$269,"&gt;0")) + 1)</f>
        <v/>
      </c>
      <c r="T73" t="str">
        <f>IF(J73=0,"","Q"&amp;INT(4*( RANK(J73, IF($J$2:$J$269&lt;&gt;0, $J$2:$J$269), 0) - 1 ) / COUNTIF($J$2:$J$269,"&gt;0")) + 1)</f>
        <v/>
      </c>
      <c r="U73" t="str">
        <f>IF(K73=0,"","Q"&amp;INT(4*( RANK(K73, IF($K$2:$K$269&lt;&gt;0, $K$2:$K$269), 0) - 1 ) / COUNTIF($K$2:$K$269,"&gt;0")) + 1)</f>
        <v/>
      </c>
    </row>
    <row r="74" spans="1:21" x14ac:dyDescent="0.2">
      <c r="A74" t="s">
        <v>949</v>
      </c>
      <c r="B74" s="2">
        <v>0</v>
      </c>
      <c r="C74" s="2">
        <v>0</v>
      </c>
      <c r="D74" s="2">
        <v>0</v>
      </c>
      <c r="E74" s="2">
        <v>2.5210084033613401E-2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t="str">
        <f>IF(B74=0,"","Q"&amp;INT(4*( RANK(B74, IF($B$2:$B$269&lt;&gt;0, $B$2:$B$269), 0) - 1 ) / COUNTIF($B$2:$B$269,"&gt;0")) + 1)</f>
        <v/>
      </c>
      <c r="M74" t="str">
        <f>IF(C74=0,"","Q"&amp;INT(4*( RANK(C74, IF($C$2:$C$269&lt;&gt;0, $C$2:$C$269), 0) - 1 ) / COUNTIF($C$2:$C$269,"&gt;0")) + 1)</f>
        <v/>
      </c>
      <c r="N74" t="str">
        <f>IF(D74=0,"","Q"&amp;INT(4*( RANK(D74, IF($D$2:$D$269&lt;&gt;0, $D$2:$D$269), 0) - 1 ) / COUNTIF($D$2:$D$269,"&gt;0")) + 1)</f>
        <v/>
      </c>
      <c r="O74" t="str">
        <f>IF(E74=0,"","Q"&amp;INT(4*( RANK(E74, IF($E$2:$E$269&lt;&gt;0, $E$2:$E$269), 0) - 1 ) / COUNTIF($E$2:$E$269,"&gt;0")) + 1)</f>
        <v>Q1</v>
      </c>
      <c r="P74" t="str">
        <f>IF(F74=0,"","Q"&amp;INT(4*( RANK(F74, IF($F$2:$F$269&lt;&gt;0, $F$2:$F$269), 0) - 1 ) / COUNTIF($F$2:$F$269,"&gt;0")) + 1)</f>
        <v/>
      </c>
      <c r="Q74" t="str">
        <f>IF(G74=0,"","Q"&amp;INT(4*( RANK(G74, IF($G$2:$G$269&lt;&gt;0, $G$2:$G$269), 0) - 1 ) / COUNTIF($G$2:$G$269,"&gt;0")) + 1)</f>
        <v/>
      </c>
      <c r="R74" t="str">
        <f>IF(H74=0,"","Q"&amp;INT(4*( RANK(H74, IF($H$2:$H$269&lt;&gt;0, $H$2:$H$269), 0) - 1 ) / COUNTIF($H$2:$H$269,"&gt;0")) + 1)</f>
        <v/>
      </c>
      <c r="S74" t="str">
        <f>IF(I74=0,"","Q"&amp;INT(4*( RANK(I74, IF($I$2:$I$269&lt;&gt;0, $I$2:$I$269), 0) - 1 ) / COUNTIF($I$2:$I$269,"&gt;0")) + 1)</f>
        <v/>
      </c>
      <c r="T74" t="str">
        <f>IF(J74=0,"","Q"&amp;INT(4*( RANK(J74, IF($J$2:$J$269&lt;&gt;0, $J$2:$J$269), 0) - 1 ) / COUNTIF($J$2:$J$269,"&gt;0")) + 1)</f>
        <v/>
      </c>
      <c r="U74" t="str">
        <f>IF(K74=0,"","Q"&amp;INT(4*( RANK(K74, IF($K$2:$K$269&lt;&gt;0, $K$2:$K$269), 0) - 1 ) / COUNTIF($K$2:$K$269,"&gt;0")) + 1)</f>
        <v/>
      </c>
    </row>
    <row r="75" spans="1:21" x14ac:dyDescent="0.2">
      <c r="A75" t="s">
        <v>1045</v>
      </c>
      <c r="B75" s="2">
        <v>0</v>
      </c>
      <c r="C75" s="2">
        <v>0</v>
      </c>
      <c r="D75" s="2">
        <v>0</v>
      </c>
      <c r="E75" s="2">
        <v>1.26050420168067E-2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t="str">
        <f>IF(B75=0,"","Q"&amp;INT(4*( RANK(B75, IF($B$2:$B$269&lt;&gt;0, $B$2:$B$269), 0) - 1 ) / COUNTIF($B$2:$B$269,"&gt;0")) + 1)</f>
        <v/>
      </c>
      <c r="M75" t="str">
        <f>IF(C75=0,"","Q"&amp;INT(4*( RANK(C75, IF($C$2:$C$269&lt;&gt;0, $C$2:$C$269), 0) - 1 ) / COUNTIF($C$2:$C$269,"&gt;0")) + 1)</f>
        <v/>
      </c>
      <c r="N75" t="str">
        <f>IF(D75=0,"","Q"&amp;INT(4*( RANK(D75, IF($D$2:$D$269&lt;&gt;0, $D$2:$D$269), 0) - 1 ) / COUNTIF($D$2:$D$269,"&gt;0")) + 1)</f>
        <v/>
      </c>
      <c r="O75" t="str">
        <f>IF(E75=0,"","Q"&amp;INT(4*( RANK(E75, IF($E$2:$E$269&lt;&gt;0, $E$2:$E$269), 0) - 1 ) / COUNTIF($E$2:$E$269,"&gt;0")) + 1)</f>
        <v>Q2</v>
      </c>
      <c r="P75" t="str">
        <f>IF(F75=0,"","Q"&amp;INT(4*( RANK(F75, IF($F$2:$F$269&lt;&gt;0, $F$2:$F$269), 0) - 1 ) / COUNTIF($F$2:$F$269,"&gt;0")) + 1)</f>
        <v/>
      </c>
      <c r="Q75" t="str">
        <f>IF(G75=0,"","Q"&amp;INT(4*( RANK(G75, IF($G$2:$G$269&lt;&gt;0, $G$2:$G$269), 0) - 1 ) / COUNTIF($G$2:$G$269,"&gt;0")) + 1)</f>
        <v/>
      </c>
      <c r="R75" t="str">
        <f>IF(H75=0,"","Q"&amp;INT(4*( RANK(H75, IF($H$2:$H$269&lt;&gt;0, $H$2:$H$269), 0) - 1 ) / COUNTIF($H$2:$H$269,"&gt;0")) + 1)</f>
        <v/>
      </c>
      <c r="S75" t="str">
        <f>IF(I75=0,"","Q"&amp;INT(4*( RANK(I75, IF($I$2:$I$269&lt;&gt;0, $I$2:$I$269), 0) - 1 ) / COUNTIF($I$2:$I$269,"&gt;0")) + 1)</f>
        <v/>
      </c>
      <c r="T75" t="str">
        <f>IF(J75=0,"","Q"&amp;INT(4*( RANK(J75, IF($J$2:$J$269&lt;&gt;0, $J$2:$J$269), 0) - 1 ) / COUNTIF($J$2:$J$269,"&gt;0")) + 1)</f>
        <v/>
      </c>
      <c r="U75" t="str">
        <f>IF(K75=0,"","Q"&amp;INT(4*( RANK(K75, IF($K$2:$K$269&lt;&gt;0, $K$2:$K$269), 0) - 1 ) / COUNTIF($K$2:$K$269,"&gt;0")) + 1)</f>
        <v/>
      </c>
    </row>
    <row r="76" spans="1:21" x14ac:dyDescent="0.2">
      <c r="A76" t="s">
        <v>950</v>
      </c>
      <c r="B76" s="2">
        <v>0</v>
      </c>
      <c r="C76" s="2">
        <v>0</v>
      </c>
      <c r="D76" s="2">
        <v>0</v>
      </c>
      <c r="E76" s="2">
        <v>1.6806722689075598E-2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t="str">
        <f>IF(B76=0,"","Q"&amp;INT(4*( RANK(B76, IF($B$2:$B$269&lt;&gt;0, $B$2:$B$269), 0) - 1 ) / COUNTIF($B$2:$B$269,"&gt;0")) + 1)</f>
        <v/>
      </c>
      <c r="M76" t="str">
        <f>IF(C76=0,"","Q"&amp;INT(4*( RANK(C76, IF($C$2:$C$269&lt;&gt;0, $C$2:$C$269), 0) - 1 ) / COUNTIF($C$2:$C$269,"&gt;0")) + 1)</f>
        <v/>
      </c>
      <c r="N76" t="str">
        <f>IF(D76=0,"","Q"&amp;INT(4*( RANK(D76, IF($D$2:$D$269&lt;&gt;0, $D$2:$D$269), 0) - 1 ) / COUNTIF($D$2:$D$269,"&gt;0")) + 1)</f>
        <v/>
      </c>
      <c r="O76" t="str">
        <f>IF(E76=0,"","Q"&amp;INT(4*( RANK(E76, IF($E$2:$E$269&lt;&gt;0, $E$2:$E$269), 0) - 1 ) / COUNTIF($E$2:$E$269,"&gt;0")) + 1)</f>
        <v>Q2</v>
      </c>
      <c r="P76" t="str">
        <f>IF(F76=0,"","Q"&amp;INT(4*( RANK(F76, IF($F$2:$F$269&lt;&gt;0, $F$2:$F$269), 0) - 1 ) / COUNTIF($F$2:$F$269,"&gt;0")) + 1)</f>
        <v/>
      </c>
      <c r="Q76" t="str">
        <f>IF(G76=0,"","Q"&amp;INT(4*( RANK(G76, IF($G$2:$G$269&lt;&gt;0, $G$2:$G$269), 0) - 1 ) / COUNTIF($G$2:$G$269,"&gt;0")) + 1)</f>
        <v/>
      </c>
      <c r="R76" t="str">
        <f>IF(H76=0,"","Q"&amp;INT(4*( RANK(H76, IF($H$2:$H$269&lt;&gt;0, $H$2:$H$269), 0) - 1 ) / COUNTIF($H$2:$H$269,"&gt;0")) + 1)</f>
        <v/>
      </c>
      <c r="S76" t="str">
        <f>IF(I76=0,"","Q"&amp;INT(4*( RANK(I76, IF($I$2:$I$269&lt;&gt;0, $I$2:$I$269), 0) - 1 ) / COUNTIF($I$2:$I$269,"&gt;0")) + 1)</f>
        <v/>
      </c>
      <c r="T76" t="str">
        <f>IF(J76=0,"","Q"&amp;INT(4*( RANK(J76, IF($J$2:$J$269&lt;&gt;0, $J$2:$J$269), 0) - 1 ) / COUNTIF($J$2:$J$269,"&gt;0")) + 1)</f>
        <v/>
      </c>
      <c r="U76" t="str">
        <f>IF(K76=0,"","Q"&amp;INT(4*( RANK(K76, IF($K$2:$K$269&lt;&gt;0, $K$2:$K$269), 0) - 1 ) / COUNTIF($K$2:$K$269,"&gt;0")) + 1)</f>
        <v/>
      </c>
    </row>
    <row r="77" spans="1:21" x14ac:dyDescent="0.2">
      <c r="A77" t="s">
        <v>951</v>
      </c>
      <c r="B77" s="2">
        <v>0</v>
      </c>
      <c r="C77" s="2">
        <v>0.3</v>
      </c>
      <c r="D77" s="2">
        <v>0</v>
      </c>
      <c r="E77" s="2">
        <v>2.5210084033613401E-2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t="str">
        <f>IF(B77=0,"","Q"&amp;INT(4*( RANK(B77, IF($B$2:$B$269&lt;&gt;0, $B$2:$B$269), 0) - 1 ) / COUNTIF($B$2:$B$269,"&gt;0")) + 1)</f>
        <v/>
      </c>
      <c r="M77" t="str">
        <f>IF(C77=0,"","Q"&amp;INT(4*( RANK(C77, IF($C$2:$C$269&lt;&gt;0, $C$2:$C$269), 0) - 1 ) / COUNTIF($C$2:$C$269,"&gt;0")) + 1)</f>
        <v>Q2</v>
      </c>
      <c r="N77" t="str">
        <f>IF(D77=0,"","Q"&amp;INT(4*( RANK(D77, IF($D$2:$D$269&lt;&gt;0, $D$2:$D$269), 0) - 1 ) / COUNTIF($D$2:$D$269,"&gt;0")) + 1)</f>
        <v/>
      </c>
      <c r="O77" t="str">
        <f>IF(E77=0,"","Q"&amp;INT(4*( RANK(E77, IF($E$2:$E$269&lt;&gt;0, $E$2:$E$269), 0) - 1 ) / COUNTIF($E$2:$E$269,"&gt;0")) + 1)</f>
        <v>Q1</v>
      </c>
      <c r="P77" t="str">
        <f>IF(F77=0,"","Q"&amp;INT(4*( RANK(F77, IF($F$2:$F$269&lt;&gt;0, $F$2:$F$269), 0) - 1 ) / COUNTIF($F$2:$F$269,"&gt;0")) + 1)</f>
        <v/>
      </c>
      <c r="Q77" t="str">
        <f>IF(G77=0,"","Q"&amp;INT(4*( RANK(G77, IF($G$2:$G$269&lt;&gt;0, $G$2:$G$269), 0) - 1 ) / COUNTIF($G$2:$G$269,"&gt;0")) + 1)</f>
        <v/>
      </c>
      <c r="R77" t="str">
        <f>IF(H77=0,"","Q"&amp;INT(4*( RANK(H77, IF($H$2:$H$269&lt;&gt;0, $H$2:$H$269), 0) - 1 ) / COUNTIF($H$2:$H$269,"&gt;0")) + 1)</f>
        <v/>
      </c>
      <c r="S77" t="str">
        <f>IF(I77=0,"","Q"&amp;INT(4*( RANK(I77, IF($I$2:$I$269&lt;&gt;0, $I$2:$I$269), 0) - 1 ) / COUNTIF($I$2:$I$269,"&gt;0")) + 1)</f>
        <v/>
      </c>
      <c r="T77" t="str">
        <f>IF(J77=0,"","Q"&amp;INT(4*( RANK(J77, IF($J$2:$J$269&lt;&gt;0, $J$2:$J$269), 0) - 1 ) / COUNTIF($J$2:$J$269,"&gt;0")) + 1)</f>
        <v/>
      </c>
      <c r="U77" t="str">
        <f>IF(K77=0,"","Q"&amp;INT(4*( RANK(K77, IF($K$2:$K$269&lt;&gt;0, $K$2:$K$269), 0) - 1 ) / COUNTIF($K$2:$K$269,"&gt;0")) + 1)</f>
        <v/>
      </c>
    </row>
    <row r="78" spans="1:21" x14ac:dyDescent="0.2">
      <c r="A78" t="s">
        <v>952</v>
      </c>
      <c r="B78" s="2">
        <v>0</v>
      </c>
      <c r="C78" s="2">
        <v>0</v>
      </c>
      <c r="D78" s="2">
        <v>0</v>
      </c>
      <c r="E78" s="2">
        <v>1.26050420168067E-2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t="str">
        <f>IF(B78=0,"","Q"&amp;INT(4*( RANK(B78, IF($B$2:$B$269&lt;&gt;0, $B$2:$B$269), 0) - 1 ) / COUNTIF($B$2:$B$269,"&gt;0")) + 1)</f>
        <v/>
      </c>
      <c r="M78" t="str">
        <f>IF(C78=0,"","Q"&amp;INT(4*( RANK(C78, IF($C$2:$C$269&lt;&gt;0, $C$2:$C$269), 0) - 1 ) / COUNTIF($C$2:$C$269,"&gt;0")) + 1)</f>
        <v/>
      </c>
      <c r="N78" t="str">
        <f>IF(D78=0,"","Q"&amp;INT(4*( RANK(D78, IF($D$2:$D$269&lt;&gt;0, $D$2:$D$269), 0) - 1 ) / COUNTIF($D$2:$D$269,"&gt;0")) + 1)</f>
        <v/>
      </c>
      <c r="O78" t="str">
        <f>IF(E78=0,"","Q"&amp;INT(4*( RANK(E78, IF($E$2:$E$269&lt;&gt;0, $E$2:$E$269), 0) - 1 ) / COUNTIF($E$2:$E$269,"&gt;0")) + 1)</f>
        <v>Q2</v>
      </c>
      <c r="P78" t="str">
        <f>IF(F78=0,"","Q"&amp;INT(4*( RANK(F78, IF($F$2:$F$269&lt;&gt;0, $F$2:$F$269), 0) - 1 ) / COUNTIF($F$2:$F$269,"&gt;0")) + 1)</f>
        <v/>
      </c>
      <c r="Q78" t="str">
        <f>IF(G78=0,"","Q"&amp;INT(4*( RANK(G78, IF($G$2:$G$269&lt;&gt;0, $G$2:$G$269), 0) - 1 ) / COUNTIF($G$2:$G$269,"&gt;0")) + 1)</f>
        <v/>
      </c>
      <c r="R78" t="str">
        <f>IF(H78=0,"","Q"&amp;INT(4*( RANK(H78, IF($H$2:$H$269&lt;&gt;0, $H$2:$H$269), 0) - 1 ) / COUNTIF($H$2:$H$269,"&gt;0")) + 1)</f>
        <v/>
      </c>
      <c r="S78" t="str">
        <f>IF(I78=0,"","Q"&amp;INT(4*( RANK(I78, IF($I$2:$I$269&lt;&gt;0, $I$2:$I$269), 0) - 1 ) / COUNTIF($I$2:$I$269,"&gt;0")) + 1)</f>
        <v/>
      </c>
      <c r="T78" t="str">
        <f>IF(J78=0,"","Q"&amp;INT(4*( RANK(J78, IF($J$2:$J$269&lt;&gt;0, $J$2:$J$269), 0) - 1 ) / COUNTIF($J$2:$J$269,"&gt;0")) + 1)</f>
        <v/>
      </c>
      <c r="U78" t="str">
        <f>IF(K78=0,"","Q"&amp;INT(4*( RANK(K78, IF($K$2:$K$269&lt;&gt;0, $K$2:$K$269), 0) - 1 ) / COUNTIF($K$2:$K$269,"&gt;0")) + 1)</f>
        <v/>
      </c>
    </row>
    <row r="79" spans="1:21" x14ac:dyDescent="0.2">
      <c r="A79" t="s">
        <v>1046</v>
      </c>
      <c r="B79" s="2">
        <v>0</v>
      </c>
      <c r="C79" s="2">
        <v>0</v>
      </c>
      <c r="D79" s="2">
        <v>0</v>
      </c>
      <c r="E79" s="2">
        <v>8.4033613445378096E-3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t="str">
        <f>IF(B79=0,"","Q"&amp;INT(4*( RANK(B79, IF($B$2:$B$269&lt;&gt;0, $B$2:$B$269), 0) - 1 ) / COUNTIF($B$2:$B$269,"&gt;0")) + 1)</f>
        <v/>
      </c>
      <c r="M79" t="str">
        <f>IF(C79=0,"","Q"&amp;INT(4*( RANK(C79, IF($C$2:$C$269&lt;&gt;0, $C$2:$C$269), 0) - 1 ) / COUNTIF($C$2:$C$269,"&gt;0")) + 1)</f>
        <v/>
      </c>
      <c r="N79" t="str">
        <f>IF(D79=0,"","Q"&amp;INT(4*( RANK(D79, IF($D$2:$D$269&lt;&gt;0, $D$2:$D$269), 0) - 1 ) / COUNTIF($D$2:$D$269,"&gt;0")) + 1)</f>
        <v/>
      </c>
      <c r="O79" t="str">
        <f>IF(E79=0,"","Q"&amp;INT(4*( RANK(E79, IF($E$2:$E$269&lt;&gt;0, $E$2:$E$269), 0) - 1 ) / COUNTIF($E$2:$E$269,"&gt;0")) + 1)</f>
        <v>Q3</v>
      </c>
      <c r="P79" t="str">
        <f>IF(F79=0,"","Q"&amp;INT(4*( RANK(F79, IF($F$2:$F$269&lt;&gt;0, $F$2:$F$269), 0) - 1 ) / COUNTIF($F$2:$F$269,"&gt;0")) + 1)</f>
        <v/>
      </c>
      <c r="Q79" t="str">
        <f>IF(G79=0,"","Q"&amp;INT(4*( RANK(G79, IF($G$2:$G$269&lt;&gt;0, $G$2:$G$269), 0) - 1 ) / COUNTIF($G$2:$G$269,"&gt;0")) + 1)</f>
        <v/>
      </c>
      <c r="R79" t="str">
        <f>IF(H79=0,"","Q"&amp;INT(4*( RANK(H79, IF($H$2:$H$269&lt;&gt;0, $H$2:$H$269), 0) - 1 ) / COUNTIF($H$2:$H$269,"&gt;0")) + 1)</f>
        <v/>
      </c>
      <c r="S79" t="str">
        <f>IF(I79=0,"","Q"&amp;INT(4*( RANK(I79, IF($I$2:$I$269&lt;&gt;0, $I$2:$I$269), 0) - 1 ) / COUNTIF($I$2:$I$269,"&gt;0")) + 1)</f>
        <v/>
      </c>
      <c r="T79" t="str">
        <f>IF(J79=0,"","Q"&amp;INT(4*( RANK(J79, IF($J$2:$J$269&lt;&gt;0, $J$2:$J$269), 0) - 1 ) / COUNTIF($J$2:$J$269,"&gt;0")) + 1)</f>
        <v/>
      </c>
      <c r="U79" t="str">
        <f>IF(K79=0,"","Q"&amp;INT(4*( RANK(K79, IF($K$2:$K$269&lt;&gt;0, $K$2:$K$269), 0) - 1 ) / COUNTIF($K$2:$K$269,"&gt;0")) + 1)</f>
        <v/>
      </c>
    </row>
    <row r="80" spans="1:21" x14ac:dyDescent="0.2">
      <c r="A80" t="s">
        <v>1047</v>
      </c>
      <c r="B80" s="2">
        <v>0</v>
      </c>
      <c r="C80" s="2">
        <v>0</v>
      </c>
      <c r="D80" s="2">
        <v>0</v>
      </c>
      <c r="E80" s="2">
        <v>8.4033613445378096E-3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t="str">
        <f>IF(B80=0,"","Q"&amp;INT(4*( RANK(B80, IF($B$2:$B$269&lt;&gt;0, $B$2:$B$269), 0) - 1 ) / COUNTIF($B$2:$B$269,"&gt;0")) + 1)</f>
        <v/>
      </c>
      <c r="M80" t="str">
        <f>IF(C80=0,"","Q"&amp;INT(4*( RANK(C80, IF($C$2:$C$269&lt;&gt;0, $C$2:$C$269), 0) - 1 ) / COUNTIF($C$2:$C$269,"&gt;0")) + 1)</f>
        <v/>
      </c>
      <c r="N80" t="str">
        <f>IF(D80=0,"","Q"&amp;INT(4*( RANK(D80, IF($D$2:$D$269&lt;&gt;0, $D$2:$D$269), 0) - 1 ) / COUNTIF($D$2:$D$269,"&gt;0")) + 1)</f>
        <v/>
      </c>
      <c r="O80" t="str">
        <f>IF(E80=0,"","Q"&amp;INT(4*( RANK(E80, IF($E$2:$E$269&lt;&gt;0, $E$2:$E$269), 0) - 1 ) / COUNTIF($E$2:$E$269,"&gt;0")) + 1)</f>
        <v>Q3</v>
      </c>
      <c r="P80" t="str">
        <f>IF(F80=0,"","Q"&amp;INT(4*( RANK(F80, IF($F$2:$F$269&lt;&gt;0, $F$2:$F$269), 0) - 1 ) / COUNTIF($F$2:$F$269,"&gt;0")) + 1)</f>
        <v/>
      </c>
      <c r="Q80" t="str">
        <f>IF(G80=0,"","Q"&amp;INT(4*( RANK(G80, IF($G$2:$G$269&lt;&gt;0, $G$2:$G$269), 0) - 1 ) / COUNTIF($G$2:$G$269,"&gt;0")) + 1)</f>
        <v/>
      </c>
      <c r="R80" t="str">
        <f>IF(H80=0,"","Q"&amp;INT(4*( RANK(H80, IF($H$2:$H$269&lt;&gt;0, $H$2:$H$269), 0) - 1 ) / COUNTIF($H$2:$H$269,"&gt;0")) + 1)</f>
        <v/>
      </c>
      <c r="S80" t="str">
        <f>IF(I80=0,"","Q"&amp;INT(4*( RANK(I80, IF($I$2:$I$269&lt;&gt;0, $I$2:$I$269), 0) - 1 ) / COUNTIF($I$2:$I$269,"&gt;0")) + 1)</f>
        <v/>
      </c>
      <c r="T80" t="str">
        <f>IF(J80=0,"","Q"&amp;INT(4*( RANK(J80, IF($J$2:$J$269&lt;&gt;0, $J$2:$J$269), 0) - 1 ) / COUNTIF($J$2:$J$269,"&gt;0")) + 1)</f>
        <v/>
      </c>
      <c r="U80" t="str">
        <f>IF(K80=0,"","Q"&amp;INT(4*( RANK(K80, IF($K$2:$K$269&lt;&gt;0, $K$2:$K$269), 0) - 1 ) / COUNTIF($K$2:$K$269,"&gt;0")) + 1)</f>
        <v/>
      </c>
    </row>
    <row r="81" spans="1:21" x14ac:dyDescent="0.2">
      <c r="A81" s="8" t="s">
        <v>148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0.41899999999999998</v>
      </c>
      <c r="K81" s="2">
        <v>0</v>
      </c>
      <c r="L81" t="str">
        <f>IF(B81=0,"","Q"&amp;INT(4*( RANK(B81, IF($B$2:$B$269&lt;&gt;0, $B$2:$B$269), 0) - 1 ) / COUNTIF($B$2:$B$269,"&gt;0")) + 1)</f>
        <v/>
      </c>
      <c r="M81" t="str">
        <f>IF(C81=0,"","Q"&amp;INT(4*( RANK(C81, IF($C$2:$C$269&lt;&gt;0, $C$2:$C$269), 0) - 1 ) / COUNTIF($C$2:$C$269,"&gt;0")) + 1)</f>
        <v/>
      </c>
      <c r="N81" t="str">
        <f>IF(D81=0,"","Q"&amp;INT(4*( RANK(D81, IF($D$2:$D$269&lt;&gt;0, $D$2:$D$269), 0) - 1 ) / COUNTIF($D$2:$D$269,"&gt;0")) + 1)</f>
        <v/>
      </c>
      <c r="O81" t="str">
        <f>IF(E81=0,"","Q"&amp;INT(4*( RANK(E81, IF($E$2:$E$269&lt;&gt;0, $E$2:$E$269), 0) - 1 ) / COUNTIF($E$2:$E$269,"&gt;0")) + 1)</f>
        <v/>
      </c>
      <c r="P81" t="str">
        <f>IF(F81=0,"","Q"&amp;INT(4*( RANK(F81, IF($F$2:$F$269&lt;&gt;0, $F$2:$F$269), 0) - 1 ) / COUNTIF($F$2:$F$269,"&gt;0")) + 1)</f>
        <v/>
      </c>
      <c r="Q81" t="str">
        <f>IF(G81=0,"","Q"&amp;INT(4*( RANK(G81, IF($G$2:$G$269&lt;&gt;0, $G$2:$G$269), 0) - 1 ) / COUNTIF($G$2:$G$269,"&gt;0")) + 1)</f>
        <v/>
      </c>
      <c r="R81" t="str">
        <f>IF(H81=0,"","Q"&amp;INT(4*( RANK(H81, IF($H$2:$H$269&lt;&gt;0, $H$2:$H$269), 0) - 1 ) / COUNTIF($H$2:$H$269,"&gt;0")) + 1)</f>
        <v/>
      </c>
      <c r="S81" t="str">
        <f>IF(I81=0,"","Q"&amp;INT(4*( RANK(I81, IF($I$2:$I$269&lt;&gt;0, $I$2:$I$269), 0) - 1 ) / COUNTIF($I$2:$I$269,"&gt;0")) + 1)</f>
        <v/>
      </c>
      <c r="T81" t="str">
        <f>IF(J81=0,"","Q"&amp;INT(4*( RANK(J81, IF($J$2:$J$269&lt;&gt;0, $J$2:$J$269), 0) - 1 ) / COUNTIF($J$2:$J$269,"&gt;0")) + 1)</f>
        <v>Q1</v>
      </c>
      <c r="U81" t="str">
        <f>IF(K81=0,"","Q"&amp;INT(4*( RANK(K81, IF($K$2:$K$269&lt;&gt;0, $K$2:$K$269), 0) - 1 ) / COUNTIF($K$2:$K$269,"&gt;0")) + 1)</f>
        <v/>
      </c>
    </row>
    <row r="82" spans="1:21" x14ac:dyDescent="0.2">
      <c r="A82" t="s">
        <v>953</v>
      </c>
      <c r="B82" s="2">
        <v>0</v>
      </c>
      <c r="C82" s="2">
        <v>0</v>
      </c>
      <c r="D82" s="2">
        <v>0</v>
      </c>
      <c r="E82" s="2">
        <v>8.4033613445378096E-3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t="str">
        <f>IF(B82=0,"","Q"&amp;INT(4*( RANK(B82, IF($B$2:$B$269&lt;&gt;0, $B$2:$B$269), 0) - 1 ) / COUNTIF($B$2:$B$269,"&gt;0")) + 1)</f>
        <v/>
      </c>
      <c r="M82" t="str">
        <f>IF(C82=0,"","Q"&amp;INT(4*( RANK(C82, IF($C$2:$C$269&lt;&gt;0, $C$2:$C$269), 0) - 1 ) / COUNTIF($C$2:$C$269,"&gt;0")) + 1)</f>
        <v/>
      </c>
      <c r="N82" t="str">
        <f>IF(D82=0,"","Q"&amp;INT(4*( RANK(D82, IF($D$2:$D$269&lt;&gt;0, $D$2:$D$269), 0) - 1 ) / COUNTIF($D$2:$D$269,"&gt;0")) + 1)</f>
        <v/>
      </c>
      <c r="O82" t="str">
        <f>IF(E82=0,"","Q"&amp;INT(4*( RANK(E82, IF($E$2:$E$269&lt;&gt;0, $E$2:$E$269), 0) - 1 ) / COUNTIF($E$2:$E$269,"&gt;0")) + 1)</f>
        <v>Q3</v>
      </c>
      <c r="P82" t="str">
        <f>IF(F82=0,"","Q"&amp;INT(4*( RANK(F82, IF($F$2:$F$269&lt;&gt;0, $F$2:$F$269), 0) - 1 ) / COUNTIF($F$2:$F$269,"&gt;0")) + 1)</f>
        <v/>
      </c>
      <c r="Q82" t="str">
        <f>IF(G82=0,"","Q"&amp;INT(4*( RANK(G82, IF($G$2:$G$269&lt;&gt;0, $G$2:$G$269), 0) - 1 ) / COUNTIF($G$2:$G$269,"&gt;0")) + 1)</f>
        <v/>
      </c>
      <c r="R82" t="str">
        <f>IF(H82=0,"","Q"&amp;INT(4*( RANK(H82, IF($H$2:$H$269&lt;&gt;0, $H$2:$H$269), 0) - 1 ) / COUNTIF($H$2:$H$269,"&gt;0")) + 1)</f>
        <v/>
      </c>
      <c r="S82" t="str">
        <f>IF(I82=0,"","Q"&amp;INT(4*( RANK(I82, IF($I$2:$I$269&lt;&gt;0, $I$2:$I$269), 0) - 1 ) / COUNTIF($I$2:$I$269,"&gt;0")) + 1)</f>
        <v/>
      </c>
      <c r="T82" t="str">
        <f>IF(J82=0,"","Q"&amp;INT(4*( RANK(J82, IF($J$2:$J$269&lt;&gt;0, $J$2:$J$269), 0) - 1 ) / COUNTIF($J$2:$J$269,"&gt;0")) + 1)</f>
        <v/>
      </c>
      <c r="U82" t="str">
        <f>IF(K82=0,"","Q"&amp;INT(4*( RANK(K82, IF($K$2:$K$269&lt;&gt;0, $K$2:$K$269), 0) - 1 ) / COUNTIF($K$2:$K$269,"&gt;0")) + 1)</f>
        <v/>
      </c>
    </row>
    <row r="83" spans="1:21" x14ac:dyDescent="0.2">
      <c r="A83" t="s">
        <v>150</v>
      </c>
      <c r="B83" s="2">
        <v>0</v>
      </c>
      <c r="C83" s="2">
        <v>0</v>
      </c>
      <c r="D83" s="2">
        <v>0</v>
      </c>
      <c r="E83" s="2">
        <v>3.7815126050420103E-2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t="str">
        <f>IF(B83=0,"","Q"&amp;INT(4*( RANK(B83, IF($B$2:$B$269&lt;&gt;0, $B$2:$B$269), 0) - 1 ) / COUNTIF($B$2:$B$269,"&gt;0")) + 1)</f>
        <v/>
      </c>
      <c r="M83" t="str">
        <f>IF(C83=0,"","Q"&amp;INT(4*( RANK(C83, IF($C$2:$C$269&lt;&gt;0, $C$2:$C$269), 0) - 1 ) / COUNTIF($C$2:$C$269,"&gt;0")) + 1)</f>
        <v/>
      </c>
      <c r="N83" t="str">
        <f>IF(D83=0,"","Q"&amp;INT(4*( RANK(D83, IF($D$2:$D$269&lt;&gt;0, $D$2:$D$269), 0) - 1 ) / COUNTIF($D$2:$D$269,"&gt;0")) + 1)</f>
        <v/>
      </c>
      <c r="O83" t="str">
        <f>IF(E83=0,"","Q"&amp;INT(4*( RANK(E83, IF($E$2:$E$269&lt;&gt;0, $E$2:$E$269), 0) - 1 ) / COUNTIF($E$2:$E$269,"&gt;0")) + 1)</f>
        <v>Q1</v>
      </c>
      <c r="P83" t="str">
        <f>IF(F83=0,"","Q"&amp;INT(4*( RANK(F83, IF($F$2:$F$269&lt;&gt;0, $F$2:$F$269), 0) - 1 ) / COUNTIF($F$2:$F$269,"&gt;0")) + 1)</f>
        <v/>
      </c>
      <c r="Q83" t="str">
        <f>IF(G83=0,"","Q"&amp;INT(4*( RANK(G83, IF($G$2:$G$269&lt;&gt;0, $G$2:$G$269), 0) - 1 ) / COUNTIF($G$2:$G$269,"&gt;0")) + 1)</f>
        <v/>
      </c>
      <c r="R83" t="str">
        <f>IF(H83=0,"","Q"&amp;INT(4*( RANK(H83, IF($H$2:$H$269&lt;&gt;0, $H$2:$H$269), 0) - 1 ) / COUNTIF($H$2:$H$269,"&gt;0")) + 1)</f>
        <v/>
      </c>
      <c r="S83" t="str">
        <f>IF(I83=0,"","Q"&amp;INT(4*( RANK(I83, IF($I$2:$I$269&lt;&gt;0, $I$2:$I$269), 0) - 1 ) / COUNTIF($I$2:$I$269,"&gt;0")) + 1)</f>
        <v/>
      </c>
      <c r="T83" t="str">
        <f>IF(J83=0,"","Q"&amp;INT(4*( RANK(J83, IF($J$2:$J$269&lt;&gt;0, $J$2:$J$269), 0) - 1 ) / COUNTIF($J$2:$J$269,"&gt;0")) + 1)</f>
        <v/>
      </c>
      <c r="U83" t="str">
        <f>IF(K83=0,"","Q"&amp;INT(4*( RANK(K83, IF($K$2:$K$269&lt;&gt;0, $K$2:$K$269), 0) - 1 ) / COUNTIF($K$2:$K$269,"&gt;0")) + 1)</f>
        <v/>
      </c>
    </row>
    <row r="84" spans="1:21" x14ac:dyDescent="0.2">
      <c r="A84" t="s">
        <v>954</v>
      </c>
      <c r="B84" s="2">
        <v>0</v>
      </c>
      <c r="C84" s="2">
        <v>0</v>
      </c>
      <c r="D84" s="2">
        <v>0</v>
      </c>
      <c r="E84" s="2">
        <v>2.1008403361344501E-2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t="str">
        <f>IF(B84=0,"","Q"&amp;INT(4*( RANK(B84, IF($B$2:$B$269&lt;&gt;0, $B$2:$B$269), 0) - 1 ) / COUNTIF($B$2:$B$269,"&gt;0")) + 1)</f>
        <v/>
      </c>
      <c r="M84" t="str">
        <f>IF(C84=0,"","Q"&amp;INT(4*( RANK(C84, IF($C$2:$C$269&lt;&gt;0, $C$2:$C$269), 0) - 1 ) / COUNTIF($C$2:$C$269,"&gt;0")) + 1)</f>
        <v/>
      </c>
      <c r="N84" t="str">
        <f>IF(D84=0,"","Q"&amp;INT(4*( RANK(D84, IF($D$2:$D$269&lt;&gt;0, $D$2:$D$269), 0) - 1 ) / COUNTIF($D$2:$D$269,"&gt;0")) + 1)</f>
        <v/>
      </c>
      <c r="O84" t="str">
        <f>IF(E84=0,"","Q"&amp;INT(4*( RANK(E84, IF($E$2:$E$269&lt;&gt;0, $E$2:$E$269), 0) - 1 ) / COUNTIF($E$2:$E$269,"&gt;0")) + 1)</f>
        <v>Q2</v>
      </c>
      <c r="P84" t="str">
        <f>IF(F84=0,"","Q"&amp;INT(4*( RANK(F84, IF($F$2:$F$269&lt;&gt;0, $F$2:$F$269), 0) - 1 ) / COUNTIF($F$2:$F$269,"&gt;0")) + 1)</f>
        <v/>
      </c>
      <c r="Q84" t="str">
        <f>IF(G84=0,"","Q"&amp;INT(4*( RANK(G84, IF($G$2:$G$269&lt;&gt;0, $G$2:$G$269), 0) - 1 ) / COUNTIF($G$2:$G$269,"&gt;0")) + 1)</f>
        <v/>
      </c>
      <c r="R84" t="str">
        <f>IF(H84=0,"","Q"&amp;INT(4*( RANK(H84, IF($H$2:$H$269&lt;&gt;0, $H$2:$H$269), 0) - 1 ) / COUNTIF($H$2:$H$269,"&gt;0")) + 1)</f>
        <v/>
      </c>
      <c r="S84" t="str">
        <f>IF(I84=0,"","Q"&amp;INT(4*( RANK(I84, IF($I$2:$I$269&lt;&gt;0, $I$2:$I$269), 0) - 1 ) / COUNTIF($I$2:$I$269,"&gt;0")) + 1)</f>
        <v/>
      </c>
      <c r="T84" t="str">
        <f>IF(J84=0,"","Q"&amp;INT(4*( RANK(J84, IF($J$2:$J$269&lt;&gt;0, $J$2:$J$269), 0) - 1 ) / COUNTIF($J$2:$J$269,"&gt;0")) + 1)</f>
        <v/>
      </c>
      <c r="U84" t="str">
        <f>IF(K84=0,"","Q"&amp;INT(4*( RANK(K84, IF($K$2:$K$269&lt;&gt;0, $K$2:$K$269), 0) - 1 ) / COUNTIF($K$2:$K$269,"&gt;0")) + 1)</f>
        <v/>
      </c>
    </row>
    <row r="85" spans="1:21" x14ac:dyDescent="0.2">
      <c r="A85" t="s">
        <v>955</v>
      </c>
      <c r="B85" s="2">
        <v>0</v>
      </c>
      <c r="C85" s="2">
        <v>0</v>
      </c>
      <c r="D85" s="2">
        <v>0</v>
      </c>
      <c r="E85" s="2">
        <v>2.5210084033613401E-2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t="str">
        <f>IF(B85=0,"","Q"&amp;INT(4*( RANK(B85, IF($B$2:$B$269&lt;&gt;0, $B$2:$B$269), 0) - 1 ) / COUNTIF($B$2:$B$269,"&gt;0")) + 1)</f>
        <v/>
      </c>
      <c r="M85" t="str">
        <f>IF(C85=0,"","Q"&amp;INT(4*( RANK(C85, IF($C$2:$C$269&lt;&gt;0, $C$2:$C$269), 0) - 1 ) / COUNTIF($C$2:$C$269,"&gt;0")) + 1)</f>
        <v/>
      </c>
      <c r="N85" t="str">
        <f>IF(D85=0,"","Q"&amp;INT(4*( RANK(D85, IF($D$2:$D$269&lt;&gt;0, $D$2:$D$269), 0) - 1 ) / COUNTIF($D$2:$D$269,"&gt;0")) + 1)</f>
        <v/>
      </c>
      <c r="O85" t="str">
        <f>IF(E85=0,"","Q"&amp;INT(4*( RANK(E85, IF($E$2:$E$269&lt;&gt;0, $E$2:$E$269), 0) - 1 ) / COUNTIF($E$2:$E$269,"&gt;0")) + 1)</f>
        <v>Q1</v>
      </c>
      <c r="P85" t="str">
        <f>IF(F85=0,"","Q"&amp;INT(4*( RANK(F85, IF($F$2:$F$269&lt;&gt;0, $F$2:$F$269), 0) - 1 ) / COUNTIF($F$2:$F$269,"&gt;0")) + 1)</f>
        <v/>
      </c>
      <c r="Q85" t="str">
        <f>IF(G85=0,"","Q"&amp;INT(4*( RANK(G85, IF($G$2:$G$269&lt;&gt;0, $G$2:$G$269), 0) - 1 ) / COUNTIF($G$2:$G$269,"&gt;0")) + 1)</f>
        <v/>
      </c>
      <c r="R85" t="str">
        <f>IF(H85=0,"","Q"&amp;INT(4*( RANK(H85, IF($H$2:$H$269&lt;&gt;0, $H$2:$H$269), 0) - 1 ) / COUNTIF($H$2:$H$269,"&gt;0")) + 1)</f>
        <v/>
      </c>
      <c r="S85" t="str">
        <f>IF(I85=0,"","Q"&amp;INT(4*( RANK(I85, IF($I$2:$I$269&lt;&gt;0, $I$2:$I$269), 0) - 1 ) / COUNTIF($I$2:$I$269,"&gt;0")) + 1)</f>
        <v/>
      </c>
      <c r="T85" t="str">
        <f>IF(J85=0,"","Q"&amp;INT(4*( RANK(J85, IF($J$2:$J$269&lt;&gt;0, $J$2:$J$269), 0) - 1 ) / COUNTIF($J$2:$J$269,"&gt;0")) + 1)</f>
        <v/>
      </c>
      <c r="U85" t="str">
        <f>IF(K85=0,"","Q"&amp;INT(4*( RANK(K85, IF($K$2:$K$269&lt;&gt;0, $K$2:$K$269), 0) - 1 ) / COUNTIF($K$2:$K$269,"&gt;0")) + 1)</f>
        <v/>
      </c>
    </row>
    <row r="86" spans="1:21" x14ac:dyDescent="0.2">
      <c r="A86" t="s">
        <v>956</v>
      </c>
      <c r="B86" s="2">
        <v>0</v>
      </c>
      <c r="C86" s="2">
        <v>0</v>
      </c>
      <c r="D86" s="2">
        <v>0</v>
      </c>
      <c r="E86" s="2">
        <v>8.4033613445378096E-3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t="str">
        <f>IF(B86=0,"","Q"&amp;INT(4*( RANK(B86, IF($B$2:$B$269&lt;&gt;0, $B$2:$B$269), 0) - 1 ) / COUNTIF($B$2:$B$269,"&gt;0")) + 1)</f>
        <v/>
      </c>
      <c r="M86" t="str">
        <f>IF(C86=0,"","Q"&amp;INT(4*( RANK(C86, IF($C$2:$C$269&lt;&gt;0, $C$2:$C$269), 0) - 1 ) / COUNTIF($C$2:$C$269,"&gt;0")) + 1)</f>
        <v/>
      </c>
      <c r="N86" t="str">
        <f>IF(D86=0,"","Q"&amp;INT(4*( RANK(D86, IF($D$2:$D$269&lt;&gt;0, $D$2:$D$269), 0) - 1 ) / COUNTIF($D$2:$D$269,"&gt;0")) + 1)</f>
        <v/>
      </c>
      <c r="O86" t="str">
        <f>IF(E86=0,"","Q"&amp;INT(4*( RANK(E86, IF($E$2:$E$269&lt;&gt;0, $E$2:$E$269), 0) - 1 ) / COUNTIF($E$2:$E$269,"&gt;0")) + 1)</f>
        <v>Q3</v>
      </c>
      <c r="P86" t="str">
        <f>IF(F86=0,"","Q"&amp;INT(4*( RANK(F86, IF($F$2:$F$269&lt;&gt;0, $F$2:$F$269), 0) - 1 ) / COUNTIF($F$2:$F$269,"&gt;0")) + 1)</f>
        <v/>
      </c>
      <c r="Q86" t="str">
        <f>IF(G86=0,"","Q"&amp;INT(4*( RANK(G86, IF($G$2:$G$269&lt;&gt;0, $G$2:$G$269), 0) - 1 ) / COUNTIF($G$2:$G$269,"&gt;0")) + 1)</f>
        <v/>
      </c>
      <c r="R86" t="str">
        <f>IF(H86=0,"","Q"&amp;INT(4*( RANK(H86, IF($H$2:$H$269&lt;&gt;0, $H$2:$H$269), 0) - 1 ) / COUNTIF($H$2:$H$269,"&gt;0")) + 1)</f>
        <v/>
      </c>
      <c r="S86" t="str">
        <f>IF(I86=0,"","Q"&amp;INT(4*( RANK(I86, IF($I$2:$I$269&lt;&gt;0, $I$2:$I$269), 0) - 1 ) / COUNTIF($I$2:$I$269,"&gt;0")) + 1)</f>
        <v/>
      </c>
      <c r="T86" t="str">
        <f>IF(J86=0,"","Q"&amp;INT(4*( RANK(J86, IF($J$2:$J$269&lt;&gt;0, $J$2:$J$269), 0) - 1 ) / COUNTIF($J$2:$J$269,"&gt;0")) + 1)</f>
        <v/>
      </c>
      <c r="U86" t="str">
        <f>IF(K86=0,"","Q"&amp;INT(4*( RANK(K86, IF($K$2:$K$269&lt;&gt;0, $K$2:$K$269), 0) - 1 ) / COUNTIF($K$2:$K$269,"&gt;0")) + 1)</f>
        <v/>
      </c>
    </row>
    <row r="87" spans="1:21" x14ac:dyDescent="0.2">
      <c r="A87" t="s">
        <v>957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0.22222222222222199</v>
      </c>
      <c r="I87" s="2">
        <v>0</v>
      </c>
      <c r="J87" s="2">
        <v>0</v>
      </c>
      <c r="K87" s="2">
        <v>0</v>
      </c>
      <c r="L87" t="str">
        <f>IF(B87=0,"","Q"&amp;INT(4*( RANK(B87, IF($B$2:$B$269&lt;&gt;0, $B$2:$B$269), 0) - 1 ) / COUNTIF($B$2:$B$269,"&gt;0")) + 1)</f>
        <v/>
      </c>
      <c r="M87" t="str">
        <f>IF(C87=0,"","Q"&amp;INT(4*( RANK(C87, IF($C$2:$C$269&lt;&gt;0, $C$2:$C$269), 0) - 1 ) / COUNTIF($C$2:$C$269,"&gt;0")) + 1)</f>
        <v/>
      </c>
      <c r="N87" t="str">
        <f>IF(D87=0,"","Q"&amp;INT(4*( RANK(D87, IF($D$2:$D$269&lt;&gt;0, $D$2:$D$269), 0) - 1 ) / COUNTIF($D$2:$D$269,"&gt;0")) + 1)</f>
        <v/>
      </c>
      <c r="O87" t="str">
        <f>IF(E87=0,"","Q"&amp;INT(4*( RANK(E87, IF($E$2:$E$269&lt;&gt;0, $E$2:$E$269), 0) - 1 ) / COUNTIF($E$2:$E$269,"&gt;0")) + 1)</f>
        <v/>
      </c>
      <c r="P87" t="str">
        <f>IF(F87=0,"","Q"&amp;INT(4*( RANK(F87, IF($F$2:$F$269&lt;&gt;0, $F$2:$F$269), 0) - 1 ) / COUNTIF($F$2:$F$269,"&gt;0")) + 1)</f>
        <v/>
      </c>
      <c r="Q87" t="str">
        <f>IF(G87=0,"","Q"&amp;INT(4*( RANK(G87, IF($G$2:$G$269&lt;&gt;0, $G$2:$G$269), 0) - 1 ) / COUNTIF($G$2:$G$269,"&gt;0")) + 1)</f>
        <v/>
      </c>
      <c r="R87" t="str">
        <f>IF(H87=0,"","Q"&amp;INT(4*( RANK(H87, IF($H$2:$H$269&lt;&gt;0, $H$2:$H$269), 0) - 1 ) / COUNTIF($H$2:$H$269,"&gt;0")) + 1)</f>
        <v>Q3</v>
      </c>
      <c r="S87" t="str">
        <f>IF(I87=0,"","Q"&amp;INT(4*( RANK(I87, IF($I$2:$I$269&lt;&gt;0, $I$2:$I$269), 0) - 1 ) / COUNTIF($I$2:$I$269,"&gt;0")) + 1)</f>
        <v/>
      </c>
      <c r="T87" t="str">
        <f>IF(J87=0,"","Q"&amp;INT(4*( RANK(J87, IF($J$2:$J$269&lt;&gt;0, $J$2:$J$269), 0) - 1 ) / COUNTIF($J$2:$J$269,"&gt;0")) + 1)</f>
        <v/>
      </c>
      <c r="U87" t="str">
        <f>IF(K87=0,"","Q"&amp;INT(4*( RANK(K87, IF($K$2:$K$269&lt;&gt;0, $K$2:$K$269), 0) - 1 ) / COUNTIF($K$2:$K$269,"&gt;0")) + 1)</f>
        <v/>
      </c>
    </row>
    <row r="88" spans="1:21" x14ac:dyDescent="0.2">
      <c r="A88" t="s">
        <v>958</v>
      </c>
      <c r="B88" s="2">
        <v>0</v>
      </c>
      <c r="C88" s="2">
        <v>0</v>
      </c>
      <c r="D88" s="2">
        <v>0</v>
      </c>
      <c r="E88" s="2">
        <v>1.6806722689075598E-2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t="str">
        <f>IF(B88=0,"","Q"&amp;INT(4*( RANK(B88, IF($B$2:$B$269&lt;&gt;0, $B$2:$B$269), 0) - 1 ) / COUNTIF($B$2:$B$269,"&gt;0")) + 1)</f>
        <v/>
      </c>
      <c r="M88" t="str">
        <f>IF(C88=0,"","Q"&amp;INT(4*( RANK(C88, IF($C$2:$C$269&lt;&gt;0, $C$2:$C$269), 0) - 1 ) / COUNTIF($C$2:$C$269,"&gt;0")) + 1)</f>
        <v/>
      </c>
      <c r="N88" t="str">
        <f>IF(D88=0,"","Q"&amp;INT(4*( RANK(D88, IF($D$2:$D$269&lt;&gt;0, $D$2:$D$269), 0) - 1 ) / COUNTIF($D$2:$D$269,"&gt;0")) + 1)</f>
        <v/>
      </c>
      <c r="O88" t="str">
        <f>IF(E88=0,"","Q"&amp;INT(4*( RANK(E88, IF($E$2:$E$269&lt;&gt;0, $E$2:$E$269), 0) - 1 ) / COUNTIF($E$2:$E$269,"&gt;0")) + 1)</f>
        <v>Q2</v>
      </c>
      <c r="P88" t="str">
        <f>IF(F88=0,"","Q"&amp;INT(4*( RANK(F88, IF($F$2:$F$269&lt;&gt;0, $F$2:$F$269), 0) - 1 ) / COUNTIF($F$2:$F$269,"&gt;0")) + 1)</f>
        <v/>
      </c>
      <c r="Q88" t="str">
        <f>IF(G88=0,"","Q"&amp;INT(4*( RANK(G88, IF($G$2:$G$269&lt;&gt;0, $G$2:$G$269), 0) - 1 ) / COUNTIF($G$2:$G$269,"&gt;0")) + 1)</f>
        <v/>
      </c>
      <c r="R88" t="str">
        <f>IF(H88=0,"","Q"&amp;INT(4*( RANK(H88, IF($H$2:$H$269&lt;&gt;0, $H$2:$H$269), 0) - 1 ) / COUNTIF($H$2:$H$269,"&gt;0")) + 1)</f>
        <v/>
      </c>
      <c r="S88" t="str">
        <f>IF(I88=0,"","Q"&amp;INT(4*( RANK(I88, IF($I$2:$I$269&lt;&gt;0, $I$2:$I$269), 0) - 1 ) / COUNTIF($I$2:$I$269,"&gt;0")) + 1)</f>
        <v/>
      </c>
      <c r="T88" t="str">
        <f>IF(J88=0,"","Q"&amp;INT(4*( RANK(J88, IF($J$2:$J$269&lt;&gt;0, $J$2:$J$269), 0) - 1 ) / COUNTIF($J$2:$J$269,"&gt;0")) + 1)</f>
        <v/>
      </c>
      <c r="U88" t="str">
        <f>IF(K88=0,"","Q"&amp;INT(4*( RANK(K88, IF($K$2:$K$269&lt;&gt;0, $K$2:$K$269), 0) - 1 ) / COUNTIF($K$2:$K$269,"&gt;0")) + 1)</f>
        <v/>
      </c>
    </row>
    <row r="89" spans="1:21" x14ac:dyDescent="0.2">
      <c r="A89" t="s">
        <v>959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0.29411764705882298</v>
      </c>
      <c r="L89" t="str">
        <f>IF(B89=0,"","Q"&amp;INT(4*( RANK(B89, IF($B$2:$B$269&lt;&gt;0, $B$2:$B$269), 0) - 1 ) / COUNTIF($B$2:$B$269,"&gt;0")) + 1)</f>
        <v/>
      </c>
      <c r="M89" t="str">
        <f>IF(C89=0,"","Q"&amp;INT(4*( RANK(C89, IF($C$2:$C$269&lt;&gt;0, $C$2:$C$269), 0) - 1 ) / COUNTIF($C$2:$C$269,"&gt;0")) + 1)</f>
        <v/>
      </c>
      <c r="N89" t="str">
        <f>IF(D89=0,"","Q"&amp;INT(4*( RANK(D89, IF($D$2:$D$269&lt;&gt;0, $D$2:$D$269), 0) - 1 ) / COUNTIF($D$2:$D$269,"&gt;0")) + 1)</f>
        <v/>
      </c>
      <c r="O89" t="str">
        <f>IF(E89=0,"","Q"&amp;INT(4*( RANK(E89, IF($E$2:$E$269&lt;&gt;0, $E$2:$E$269), 0) - 1 ) / COUNTIF($E$2:$E$269,"&gt;0")) + 1)</f>
        <v/>
      </c>
      <c r="P89" t="str">
        <f>IF(F89=0,"","Q"&amp;INT(4*( RANK(F89, IF($F$2:$F$269&lt;&gt;0, $F$2:$F$269), 0) - 1 ) / COUNTIF($F$2:$F$269,"&gt;0")) + 1)</f>
        <v/>
      </c>
      <c r="Q89" t="str">
        <f>IF(G89=0,"","Q"&amp;INT(4*( RANK(G89, IF($G$2:$G$269&lt;&gt;0, $G$2:$G$269), 0) - 1 ) / COUNTIF($G$2:$G$269,"&gt;0")) + 1)</f>
        <v/>
      </c>
      <c r="R89" t="str">
        <f>IF(H89=0,"","Q"&amp;INT(4*( RANK(H89, IF($H$2:$H$269&lt;&gt;0, $H$2:$H$269), 0) - 1 ) / COUNTIF($H$2:$H$269,"&gt;0")) + 1)</f>
        <v/>
      </c>
      <c r="S89" t="str">
        <f>IF(I89=0,"","Q"&amp;INT(4*( RANK(I89, IF($I$2:$I$269&lt;&gt;0, $I$2:$I$269), 0) - 1 ) / COUNTIF($I$2:$I$269,"&gt;0")) + 1)</f>
        <v/>
      </c>
      <c r="T89" t="str">
        <f>IF(J89=0,"","Q"&amp;INT(4*( RANK(J89, IF($J$2:$J$269&lt;&gt;0, $J$2:$J$269), 0) - 1 ) / COUNTIF($J$2:$J$269,"&gt;0")) + 1)</f>
        <v/>
      </c>
      <c r="U89" t="str">
        <f>IF(K89=0,"","Q"&amp;INT(4*( RANK(K89, IF($K$2:$K$269&lt;&gt;0, $K$2:$K$269), 0) - 1 ) / COUNTIF($K$2:$K$269,"&gt;0")) + 1)</f>
        <v>Q1</v>
      </c>
    </row>
    <row r="90" spans="1:21" x14ac:dyDescent="0.2">
      <c r="A90" t="s">
        <v>960</v>
      </c>
      <c r="B90" s="2">
        <v>0</v>
      </c>
      <c r="C90" s="2">
        <v>0</v>
      </c>
      <c r="D90" s="2">
        <v>0</v>
      </c>
      <c r="E90" s="2">
        <v>8.4033613445378096E-3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t="str">
        <f>IF(B90=0,"","Q"&amp;INT(4*( RANK(B90, IF($B$2:$B$269&lt;&gt;0, $B$2:$B$269), 0) - 1 ) / COUNTIF($B$2:$B$269,"&gt;0")) + 1)</f>
        <v/>
      </c>
      <c r="M90" t="str">
        <f>IF(C90=0,"","Q"&amp;INT(4*( RANK(C90, IF($C$2:$C$269&lt;&gt;0, $C$2:$C$269), 0) - 1 ) / COUNTIF($C$2:$C$269,"&gt;0")) + 1)</f>
        <v/>
      </c>
      <c r="N90" t="str">
        <f>IF(D90=0,"","Q"&amp;INT(4*( RANK(D90, IF($D$2:$D$269&lt;&gt;0, $D$2:$D$269), 0) - 1 ) / COUNTIF($D$2:$D$269,"&gt;0")) + 1)</f>
        <v/>
      </c>
      <c r="O90" t="str">
        <f>IF(E90=0,"","Q"&amp;INT(4*( RANK(E90, IF($E$2:$E$269&lt;&gt;0, $E$2:$E$269), 0) - 1 ) / COUNTIF($E$2:$E$269,"&gt;0")) + 1)</f>
        <v>Q3</v>
      </c>
      <c r="P90" t="str">
        <f>IF(F90=0,"","Q"&amp;INT(4*( RANK(F90, IF($F$2:$F$269&lt;&gt;0, $F$2:$F$269), 0) - 1 ) / COUNTIF($F$2:$F$269,"&gt;0")) + 1)</f>
        <v/>
      </c>
      <c r="Q90" t="str">
        <f>IF(G90=0,"","Q"&amp;INT(4*( RANK(G90, IF($G$2:$G$269&lt;&gt;0, $G$2:$G$269), 0) - 1 ) / COUNTIF($G$2:$G$269,"&gt;0")) + 1)</f>
        <v/>
      </c>
      <c r="R90" t="str">
        <f>IF(H90=0,"","Q"&amp;INT(4*( RANK(H90, IF($H$2:$H$269&lt;&gt;0, $H$2:$H$269), 0) - 1 ) / COUNTIF($H$2:$H$269,"&gt;0")) + 1)</f>
        <v/>
      </c>
      <c r="S90" t="str">
        <f>IF(I90=0,"","Q"&amp;INT(4*( RANK(I90, IF($I$2:$I$269&lt;&gt;0, $I$2:$I$269), 0) - 1 ) / COUNTIF($I$2:$I$269,"&gt;0")) + 1)</f>
        <v/>
      </c>
      <c r="T90" t="str">
        <f>IF(J90=0,"","Q"&amp;INT(4*( RANK(J90, IF($J$2:$J$269&lt;&gt;0, $J$2:$J$269), 0) - 1 ) / COUNTIF($J$2:$J$269,"&gt;0")) + 1)</f>
        <v/>
      </c>
      <c r="U90" t="str">
        <f>IF(K90=0,"","Q"&amp;INT(4*( RANK(K90, IF($K$2:$K$269&lt;&gt;0, $K$2:$K$269), 0) - 1 ) / COUNTIF($K$2:$K$269,"&gt;0")) + 1)</f>
        <v/>
      </c>
    </row>
    <row r="91" spans="1:21" x14ac:dyDescent="0.2">
      <c r="A91" t="s">
        <v>961</v>
      </c>
      <c r="B91" s="2">
        <v>0</v>
      </c>
      <c r="C91" s="2">
        <v>0</v>
      </c>
      <c r="D91" s="2">
        <v>0</v>
      </c>
      <c r="E91" s="2">
        <v>4.2016806722688996E-3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t="str">
        <f>IF(B91=0,"","Q"&amp;INT(4*( RANK(B91, IF($B$2:$B$269&lt;&gt;0, $B$2:$B$269), 0) - 1 ) / COUNTIF($B$2:$B$269,"&gt;0")) + 1)</f>
        <v/>
      </c>
      <c r="M91" t="str">
        <f>IF(C91=0,"","Q"&amp;INT(4*( RANK(C91, IF($C$2:$C$269&lt;&gt;0, $C$2:$C$269), 0) - 1 ) / COUNTIF($C$2:$C$269,"&gt;0")) + 1)</f>
        <v/>
      </c>
      <c r="N91" t="str">
        <f>IF(D91=0,"","Q"&amp;INT(4*( RANK(D91, IF($D$2:$D$269&lt;&gt;0, $D$2:$D$269), 0) - 1 ) / COUNTIF($D$2:$D$269,"&gt;0")) + 1)</f>
        <v/>
      </c>
      <c r="O91" t="str">
        <f>IF(E91=0,"","Q"&amp;INT(4*( RANK(E91, IF($E$2:$E$269&lt;&gt;0, $E$2:$E$269), 0) - 1 ) / COUNTIF($E$2:$E$269,"&gt;0")) + 1)</f>
        <v>Q4</v>
      </c>
      <c r="P91" t="str">
        <f>IF(F91=0,"","Q"&amp;INT(4*( RANK(F91, IF($F$2:$F$269&lt;&gt;0, $F$2:$F$269), 0) - 1 ) / COUNTIF($F$2:$F$269,"&gt;0")) + 1)</f>
        <v/>
      </c>
      <c r="Q91" t="str">
        <f>IF(G91=0,"","Q"&amp;INT(4*( RANK(G91, IF($G$2:$G$269&lt;&gt;0, $G$2:$G$269), 0) - 1 ) / COUNTIF($G$2:$G$269,"&gt;0")) + 1)</f>
        <v/>
      </c>
      <c r="R91" t="str">
        <f>IF(H91=0,"","Q"&amp;INT(4*( RANK(H91, IF($H$2:$H$269&lt;&gt;0, $H$2:$H$269), 0) - 1 ) / COUNTIF($H$2:$H$269,"&gt;0")) + 1)</f>
        <v/>
      </c>
      <c r="S91" t="str">
        <f>IF(I91=0,"","Q"&amp;INT(4*( RANK(I91, IF($I$2:$I$269&lt;&gt;0, $I$2:$I$269), 0) - 1 ) / COUNTIF($I$2:$I$269,"&gt;0")) + 1)</f>
        <v/>
      </c>
      <c r="T91" t="str">
        <f>IF(J91=0,"","Q"&amp;INT(4*( RANK(J91, IF($J$2:$J$269&lt;&gt;0, $J$2:$J$269), 0) - 1 ) / COUNTIF($J$2:$J$269,"&gt;0")) + 1)</f>
        <v/>
      </c>
      <c r="U91" t="str">
        <f>IF(K91=0,"","Q"&amp;INT(4*( RANK(K91, IF($K$2:$K$269&lt;&gt;0, $K$2:$K$269), 0) - 1 ) / COUNTIF($K$2:$K$269,"&gt;0")) + 1)</f>
        <v/>
      </c>
    </row>
    <row r="92" spans="1:21" x14ac:dyDescent="0.2">
      <c r="A92" t="s">
        <v>962</v>
      </c>
      <c r="B92" s="2">
        <v>0</v>
      </c>
      <c r="C92" s="2">
        <v>0</v>
      </c>
      <c r="D92" s="2">
        <v>0</v>
      </c>
      <c r="E92" s="2">
        <v>8.4033613445378096E-3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t="str">
        <f>IF(B92=0,"","Q"&amp;INT(4*( RANK(B92, IF($B$2:$B$269&lt;&gt;0, $B$2:$B$269), 0) - 1 ) / COUNTIF($B$2:$B$269,"&gt;0")) + 1)</f>
        <v/>
      </c>
      <c r="M92" t="str">
        <f>IF(C92=0,"","Q"&amp;INT(4*( RANK(C92, IF($C$2:$C$269&lt;&gt;0, $C$2:$C$269), 0) - 1 ) / COUNTIF($C$2:$C$269,"&gt;0")) + 1)</f>
        <v/>
      </c>
      <c r="N92" t="str">
        <f>IF(D92=0,"","Q"&amp;INT(4*( RANK(D92, IF($D$2:$D$269&lt;&gt;0, $D$2:$D$269), 0) - 1 ) / COUNTIF($D$2:$D$269,"&gt;0")) + 1)</f>
        <v/>
      </c>
      <c r="O92" t="str">
        <f>IF(E92=0,"","Q"&amp;INT(4*( RANK(E92, IF($E$2:$E$269&lt;&gt;0, $E$2:$E$269), 0) - 1 ) / COUNTIF($E$2:$E$269,"&gt;0")) + 1)</f>
        <v>Q3</v>
      </c>
      <c r="P92" t="str">
        <f>IF(F92=0,"","Q"&amp;INT(4*( RANK(F92, IF($F$2:$F$269&lt;&gt;0, $F$2:$F$269), 0) - 1 ) / COUNTIF($F$2:$F$269,"&gt;0")) + 1)</f>
        <v/>
      </c>
      <c r="Q92" t="str">
        <f>IF(G92=0,"","Q"&amp;INT(4*( RANK(G92, IF($G$2:$G$269&lt;&gt;0, $G$2:$G$269), 0) - 1 ) / COUNTIF($G$2:$G$269,"&gt;0")) + 1)</f>
        <v/>
      </c>
      <c r="R92" t="str">
        <f>IF(H92=0,"","Q"&amp;INT(4*( RANK(H92, IF($H$2:$H$269&lt;&gt;0, $H$2:$H$269), 0) - 1 ) / COUNTIF($H$2:$H$269,"&gt;0")) + 1)</f>
        <v/>
      </c>
      <c r="S92" t="str">
        <f>IF(I92=0,"","Q"&amp;INT(4*( RANK(I92, IF($I$2:$I$269&lt;&gt;0, $I$2:$I$269), 0) - 1 ) / COUNTIF($I$2:$I$269,"&gt;0")) + 1)</f>
        <v/>
      </c>
      <c r="T92" t="str">
        <f>IF(J92=0,"","Q"&amp;INT(4*( RANK(J92, IF($J$2:$J$269&lt;&gt;0, $J$2:$J$269), 0) - 1 ) / COUNTIF($J$2:$J$269,"&gt;0")) + 1)</f>
        <v/>
      </c>
      <c r="U92" t="str">
        <f>IF(K92=0,"","Q"&amp;INT(4*( RANK(K92, IF($K$2:$K$269&lt;&gt;0, $K$2:$K$269), 0) - 1 ) / COUNTIF($K$2:$K$269,"&gt;0")) + 1)</f>
        <v/>
      </c>
    </row>
    <row r="93" spans="1:21" x14ac:dyDescent="0.2">
      <c r="A93" t="s">
        <v>963</v>
      </c>
      <c r="B93" s="2">
        <v>0</v>
      </c>
      <c r="C93" s="2">
        <v>0</v>
      </c>
      <c r="D93" s="2">
        <v>0</v>
      </c>
      <c r="E93" s="2">
        <v>2.1008403361344501E-2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t="str">
        <f>IF(B93=0,"","Q"&amp;INT(4*( RANK(B93, IF($B$2:$B$269&lt;&gt;0, $B$2:$B$269), 0) - 1 ) / COUNTIF($B$2:$B$269,"&gt;0")) + 1)</f>
        <v/>
      </c>
      <c r="M93" t="str">
        <f>IF(C93=0,"","Q"&amp;INT(4*( RANK(C93, IF($C$2:$C$269&lt;&gt;0, $C$2:$C$269), 0) - 1 ) / COUNTIF($C$2:$C$269,"&gt;0")) + 1)</f>
        <v/>
      </c>
      <c r="N93" t="str">
        <f>IF(D93=0,"","Q"&amp;INT(4*( RANK(D93, IF($D$2:$D$269&lt;&gt;0, $D$2:$D$269), 0) - 1 ) / COUNTIF($D$2:$D$269,"&gt;0")) + 1)</f>
        <v/>
      </c>
      <c r="O93" t="str">
        <f>IF(E93=0,"","Q"&amp;INT(4*( RANK(E93, IF($E$2:$E$269&lt;&gt;0, $E$2:$E$269), 0) - 1 ) / COUNTIF($E$2:$E$269,"&gt;0")) + 1)</f>
        <v>Q2</v>
      </c>
      <c r="P93" t="str">
        <f>IF(F93=0,"","Q"&amp;INT(4*( RANK(F93, IF($F$2:$F$269&lt;&gt;0, $F$2:$F$269), 0) - 1 ) / COUNTIF($F$2:$F$269,"&gt;0")) + 1)</f>
        <v/>
      </c>
      <c r="Q93" t="str">
        <f>IF(G93=0,"","Q"&amp;INT(4*( RANK(G93, IF($G$2:$G$269&lt;&gt;0, $G$2:$G$269), 0) - 1 ) / COUNTIF($G$2:$G$269,"&gt;0")) + 1)</f>
        <v/>
      </c>
      <c r="R93" t="str">
        <f>IF(H93=0,"","Q"&amp;INT(4*( RANK(H93, IF($H$2:$H$269&lt;&gt;0, $H$2:$H$269), 0) - 1 ) / COUNTIF($H$2:$H$269,"&gt;0")) + 1)</f>
        <v/>
      </c>
      <c r="S93" t="str">
        <f>IF(I93=0,"","Q"&amp;INT(4*( RANK(I93, IF($I$2:$I$269&lt;&gt;0, $I$2:$I$269), 0) - 1 ) / COUNTIF($I$2:$I$269,"&gt;0")) + 1)</f>
        <v/>
      </c>
      <c r="T93" t="str">
        <f>IF(J93=0,"","Q"&amp;INT(4*( RANK(J93, IF($J$2:$J$269&lt;&gt;0, $J$2:$J$269), 0) - 1 ) / COUNTIF($J$2:$J$269,"&gt;0")) + 1)</f>
        <v/>
      </c>
      <c r="U93" t="str">
        <f>IF(K93=0,"","Q"&amp;INT(4*( RANK(K93, IF($K$2:$K$269&lt;&gt;0, $K$2:$K$269), 0) - 1 ) / COUNTIF($K$2:$K$269,"&gt;0")) + 1)</f>
        <v/>
      </c>
    </row>
    <row r="94" spans="1:21" x14ac:dyDescent="0.2">
      <c r="A94" t="s">
        <v>964</v>
      </c>
      <c r="B94" s="2">
        <v>0</v>
      </c>
      <c r="C94" s="2">
        <v>0</v>
      </c>
      <c r="D94" s="2">
        <v>0</v>
      </c>
      <c r="E94" s="2">
        <v>8.4033613445378096E-3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t="str">
        <f>IF(B94=0,"","Q"&amp;INT(4*( RANK(B94, IF($B$2:$B$269&lt;&gt;0, $B$2:$B$269), 0) - 1 ) / COUNTIF($B$2:$B$269,"&gt;0")) + 1)</f>
        <v/>
      </c>
      <c r="M94" t="str">
        <f>IF(C94=0,"","Q"&amp;INT(4*( RANK(C94, IF($C$2:$C$269&lt;&gt;0, $C$2:$C$269), 0) - 1 ) / COUNTIF($C$2:$C$269,"&gt;0")) + 1)</f>
        <v/>
      </c>
      <c r="N94" t="str">
        <f>IF(D94=0,"","Q"&amp;INT(4*( RANK(D94, IF($D$2:$D$269&lt;&gt;0, $D$2:$D$269), 0) - 1 ) / COUNTIF($D$2:$D$269,"&gt;0")) + 1)</f>
        <v/>
      </c>
      <c r="O94" t="str">
        <f>IF(E94=0,"","Q"&amp;INT(4*( RANK(E94, IF($E$2:$E$269&lt;&gt;0, $E$2:$E$269), 0) - 1 ) / COUNTIF($E$2:$E$269,"&gt;0")) + 1)</f>
        <v>Q3</v>
      </c>
      <c r="P94" t="str">
        <f>IF(F94=0,"","Q"&amp;INT(4*( RANK(F94, IF($F$2:$F$269&lt;&gt;0, $F$2:$F$269), 0) - 1 ) / COUNTIF($F$2:$F$269,"&gt;0")) + 1)</f>
        <v/>
      </c>
      <c r="Q94" t="str">
        <f>IF(G94=0,"","Q"&amp;INT(4*( RANK(G94, IF($G$2:$G$269&lt;&gt;0, $G$2:$G$269), 0) - 1 ) / COUNTIF($G$2:$G$269,"&gt;0")) + 1)</f>
        <v/>
      </c>
      <c r="R94" t="str">
        <f>IF(H94=0,"","Q"&amp;INT(4*( RANK(H94, IF($H$2:$H$269&lt;&gt;0, $H$2:$H$269), 0) - 1 ) / COUNTIF($H$2:$H$269,"&gt;0")) + 1)</f>
        <v/>
      </c>
      <c r="S94" t="str">
        <f>IF(I94=0,"","Q"&amp;INT(4*( RANK(I94, IF($I$2:$I$269&lt;&gt;0, $I$2:$I$269), 0) - 1 ) / COUNTIF($I$2:$I$269,"&gt;0")) + 1)</f>
        <v/>
      </c>
      <c r="T94" t="str">
        <f>IF(J94=0,"","Q"&amp;INT(4*( RANK(J94, IF($J$2:$J$269&lt;&gt;0, $J$2:$J$269), 0) - 1 ) / COUNTIF($J$2:$J$269,"&gt;0")) + 1)</f>
        <v/>
      </c>
      <c r="U94" t="str">
        <f>IF(K94=0,"","Q"&amp;INT(4*( RANK(K94, IF($K$2:$K$269&lt;&gt;0, $K$2:$K$269), 0) - 1 ) / COUNTIF($K$2:$K$269,"&gt;0")) + 1)</f>
        <v/>
      </c>
    </row>
    <row r="95" spans="1:21" x14ac:dyDescent="0.2">
      <c r="A95" t="s">
        <v>965</v>
      </c>
      <c r="B95" s="2">
        <v>0.6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t="str">
        <f>IF(B95=0,"","Q"&amp;INT(4*( RANK(B95, IF($B$2:$B$269&lt;&gt;0, $B$2:$B$269), 0) - 1 ) / COUNTIF($B$2:$B$269,"&gt;0")) + 1)</f>
        <v>Q2</v>
      </c>
      <c r="M95" t="str">
        <f>IF(C95=0,"","Q"&amp;INT(4*( RANK(C95, IF($C$2:$C$269&lt;&gt;0, $C$2:$C$269), 0) - 1 ) / COUNTIF($C$2:$C$269,"&gt;0")) + 1)</f>
        <v/>
      </c>
      <c r="N95" t="str">
        <f>IF(D95=0,"","Q"&amp;INT(4*( RANK(D95, IF($D$2:$D$269&lt;&gt;0, $D$2:$D$269), 0) - 1 ) / COUNTIF($D$2:$D$269,"&gt;0")) + 1)</f>
        <v/>
      </c>
      <c r="O95" t="str">
        <f>IF(E95=0,"","Q"&amp;INT(4*( RANK(E95, IF($E$2:$E$269&lt;&gt;0, $E$2:$E$269), 0) - 1 ) / COUNTIF($E$2:$E$269,"&gt;0")) + 1)</f>
        <v/>
      </c>
      <c r="P95" t="str">
        <f>IF(F95=0,"","Q"&amp;INT(4*( RANK(F95, IF($F$2:$F$269&lt;&gt;0, $F$2:$F$269), 0) - 1 ) / COUNTIF($F$2:$F$269,"&gt;0")) + 1)</f>
        <v/>
      </c>
      <c r="Q95" t="str">
        <f>IF(G95=0,"","Q"&amp;INT(4*( RANK(G95, IF($G$2:$G$269&lt;&gt;0, $G$2:$G$269), 0) - 1 ) / COUNTIF($G$2:$G$269,"&gt;0")) + 1)</f>
        <v/>
      </c>
      <c r="R95" t="str">
        <f>IF(H95=0,"","Q"&amp;INT(4*( RANK(H95, IF($H$2:$H$269&lt;&gt;0, $H$2:$H$269), 0) - 1 ) / COUNTIF($H$2:$H$269,"&gt;0")) + 1)</f>
        <v/>
      </c>
      <c r="S95" t="str">
        <f>IF(I95=0,"","Q"&amp;INT(4*( RANK(I95, IF($I$2:$I$269&lt;&gt;0, $I$2:$I$269), 0) - 1 ) / COUNTIF($I$2:$I$269,"&gt;0")) + 1)</f>
        <v/>
      </c>
      <c r="T95" t="str">
        <f>IF(J95=0,"","Q"&amp;INT(4*( RANK(J95, IF($J$2:$J$269&lt;&gt;0, $J$2:$J$269), 0) - 1 ) / COUNTIF($J$2:$J$269,"&gt;0")) + 1)</f>
        <v/>
      </c>
      <c r="U95" t="str">
        <f>IF(K95=0,"","Q"&amp;INT(4*( RANK(K95, IF($K$2:$K$269&lt;&gt;0, $K$2:$K$269), 0) - 1 ) / COUNTIF($K$2:$K$269,"&gt;0")) + 1)</f>
        <v/>
      </c>
    </row>
    <row r="96" spans="1:21" x14ac:dyDescent="0.2">
      <c r="A96" t="s">
        <v>966</v>
      </c>
      <c r="B96" s="2">
        <v>0</v>
      </c>
      <c r="C96" s="2">
        <v>0</v>
      </c>
      <c r="D96" s="2">
        <v>0</v>
      </c>
      <c r="E96" s="2">
        <v>8.4033613445378096E-3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t="str">
        <f>IF(B96=0,"","Q"&amp;INT(4*( RANK(B96, IF($B$2:$B$269&lt;&gt;0, $B$2:$B$269), 0) - 1 ) / COUNTIF($B$2:$B$269,"&gt;0")) + 1)</f>
        <v/>
      </c>
      <c r="M96" t="str">
        <f>IF(C96=0,"","Q"&amp;INT(4*( RANK(C96, IF($C$2:$C$269&lt;&gt;0, $C$2:$C$269), 0) - 1 ) / COUNTIF($C$2:$C$269,"&gt;0")) + 1)</f>
        <v/>
      </c>
      <c r="N96" t="str">
        <f>IF(D96=0,"","Q"&amp;INT(4*( RANK(D96, IF($D$2:$D$269&lt;&gt;0, $D$2:$D$269), 0) - 1 ) / COUNTIF($D$2:$D$269,"&gt;0")) + 1)</f>
        <v/>
      </c>
      <c r="O96" t="str">
        <f>IF(E96=0,"","Q"&amp;INT(4*( RANK(E96, IF($E$2:$E$269&lt;&gt;0, $E$2:$E$269), 0) - 1 ) / COUNTIF($E$2:$E$269,"&gt;0")) + 1)</f>
        <v>Q3</v>
      </c>
      <c r="P96" t="str">
        <f>IF(F96=0,"","Q"&amp;INT(4*( RANK(F96, IF($F$2:$F$269&lt;&gt;0, $F$2:$F$269), 0) - 1 ) / COUNTIF($F$2:$F$269,"&gt;0")) + 1)</f>
        <v/>
      </c>
      <c r="Q96" t="str">
        <f>IF(G96=0,"","Q"&amp;INT(4*( RANK(G96, IF($G$2:$G$269&lt;&gt;0, $G$2:$G$269), 0) - 1 ) / COUNTIF($G$2:$G$269,"&gt;0")) + 1)</f>
        <v/>
      </c>
      <c r="R96" t="str">
        <f>IF(H96=0,"","Q"&amp;INT(4*( RANK(H96, IF($H$2:$H$269&lt;&gt;0, $H$2:$H$269), 0) - 1 ) / COUNTIF($H$2:$H$269,"&gt;0")) + 1)</f>
        <v/>
      </c>
      <c r="S96" t="str">
        <f>IF(I96=0,"","Q"&amp;INT(4*( RANK(I96, IF($I$2:$I$269&lt;&gt;0, $I$2:$I$269), 0) - 1 ) / COUNTIF($I$2:$I$269,"&gt;0")) + 1)</f>
        <v/>
      </c>
      <c r="T96" t="str">
        <f>IF(J96=0,"","Q"&amp;INT(4*( RANK(J96, IF($J$2:$J$269&lt;&gt;0, $J$2:$J$269), 0) - 1 ) / COUNTIF($J$2:$J$269,"&gt;0")) + 1)</f>
        <v/>
      </c>
      <c r="U96" t="str">
        <f>IF(K96=0,"","Q"&amp;INT(4*( RANK(K96, IF($K$2:$K$269&lt;&gt;0, $K$2:$K$269), 0) - 1 ) / COUNTIF($K$2:$K$269,"&gt;0")) + 1)</f>
        <v/>
      </c>
    </row>
    <row r="97" spans="1:21" x14ac:dyDescent="0.2">
      <c r="A97" t="s">
        <v>967</v>
      </c>
      <c r="B97" s="2">
        <v>0</v>
      </c>
      <c r="C97" s="2">
        <v>0</v>
      </c>
      <c r="D97" s="2">
        <v>0</v>
      </c>
      <c r="E97" s="2">
        <v>1.6806722689075598E-2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t="str">
        <f>IF(B97=0,"","Q"&amp;INT(4*( RANK(B97, IF($B$2:$B$269&lt;&gt;0, $B$2:$B$269), 0) - 1 ) / COUNTIF($B$2:$B$269,"&gt;0")) + 1)</f>
        <v/>
      </c>
      <c r="M97" t="str">
        <f>IF(C97=0,"","Q"&amp;INT(4*( RANK(C97, IF($C$2:$C$269&lt;&gt;0, $C$2:$C$269), 0) - 1 ) / COUNTIF($C$2:$C$269,"&gt;0")) + 1)</f>
        <v/>
      </c>
      <c r="N97" t="str">
        <f>IF(D97=0,"","Q"&amp;INT(4*( RANK(D97, IF($D$2:$D$269&lt;&gt;0, $D$2:$D$269), 0) - 1 ) / COUNTIF($D$2:$D$269,"&gt;0")) + 1)</f>
        <v/>
      </c>
      <c r="O97" t="str">
        <f>IF(E97=0,"","Q"&amp;INT(4*( RANK(E97, IF($E$2:$E$269&lt;&gt;0, $E$2:$E$269), 0) - 1 ) / COUNTIF($E$2:$E$269,"&gt;0")) + 1)</f>
        <v>Q2</v>
      </c>
      <c r="P97" t="str">
        <f>IF(F97=0,"","Q"&amp;INT(4*( RANK(F97, IF($F$2:$F$269&lt;&gt;0, $F$2:$F$269), 0) - 1 ) / COUNTIF($F$2:$F$269,"&gt;0")) + 1)</f>
        <v/>
      </c>
      <c r="Q97" t="str">
        <f>IF(G97=0,"","Q"&amp;INT(4*( RANK(G97, IF($G$2:$G$269&lt;&gt;0, $G$2:$G$269), 0) - 1 ) / COUNTIF($G$2:$G$269,"&gt;0")) + 1)</f>
        <v/>
      </c>
      <c r="R97" t="str">
        <f>IF(H97=0,"","Q"&amp;INT(4*( RANK(H97, IF($H$2:$H$269&lt;&gt;0, $H$2:$H$269), 0) - 1 ) / COUNTIF($H$2:$H$269,"&gt;0")) + 1)</f>
        <v/>
      </c>
      <c r="S97" t="str">
        <f>IF(I97=0,"","Q"&amp;INT(4*( RANK(I97, IF($I$2:$I$269&lt;&gt;0, $I$2:$I$269), 0) - 1 ) / COUNTIF($I$2:$I$269,"&gt;0")) + 1)</f>
        <v/>
      </c>
      <c r="T97" t="str">
        <f>IF(J97=0,"","Q"&amp;INT(4*( RANK(J97, IF($J$2:$J$269&lt;&gt;0, $J$2:$J$269), 0) - 1 ) / COUNTIF($J$2:$J$269,"&gt;0")) + 1)</f>
        <v/>
      </c>
      <c r="U97" t="str">
        <f>IF(K97=0,"","Q"&amp;INT(4*( RANK(K97, IF($K$2:$K$269&lt;&gt;0, $K$2:$K$269), 0) - 1 ) / COUNTIF($K$2:$K$269,"&gt;0")) + 1)</f>
        <v/>
      </c>
    </row>
    <row r="98" spans="1:21" x14ac:dyDescent="0.2">
      <c r="A98" t="s">
        <v>968</v>
      </c>
      <c r="B98" s="2">
        <v>0</v>
      </c>
      <c r="C98" s="2">
        <v>0</v>
      </c>
      <c r="D98" s="2">
        <v>0</v>
      </c>
      <c r="E98" s="2">
        <v>3.7815126050420103E-2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t="str">
        <f>IF(B98=0,"","Q"&amp;INT(4*( RANK(B98, IF($B$2:$B$269&lt;&gt;0, $B$2:$B$269), 0) - 1 ) / COUNTIF($B$2:$B$269,"&gt;0")) + 1)</f>
        <v/>
      </c>
      <c r="M98" t="str">
        <f>IF(C98=0,"","Q"&amp;INT(4*( RANK(C98, IF($C$2:$C$269&lt;&gt;0, $C$2:$C$269), 0) - 1 ) / COUNTIF($C$2:$C$269,"&gt;0")) + 1)</f>
        <v/>
      </c>
      <c r="N98" t="str">
        <f>IF(D98=0,"","Q"&amp;INT(4*( RANK(D98, IF($D$2:$D$269&lt;&gt;0, $D$2:$D$269), 0) - 1 ) / COUNTIF($D$2:$D$269,"&gt;0")) + 1)</f>
        <v/>
      </c>
      <c r="O98" t="str">
        <f>IF(E98=0,"","Q"&amp;INT(4*( RANK(E98, IF($E$2:$E$269&lt;&gt;0, $E$2:$E$269), 0) - 1 ) / COUNTIF($E$2:$E$269,"&gt;0")) + 1)</f>
        <v>Q1</v>
      </c>
      <c r="P98" t="str">
        <f>IF(F98=0,"","Q"&amp;INT(4*( RANK(F98, IF($F$2:$F$269&lt;&gt;0, $F$2:$F$269), 0) - 1 ) / COUNTIF($F$2:$F$269,"&gt;0")) + 1)</f>
        <v/>
      </c>
      <c r="Q98" t="str">
        <f>IF(G98=0,"","Q"&amp;INT(4*( RANK(G98, IF($G$2:$G$269&lt;&gt;0, $G$2:$G$269), 0) - 1 ) / COUNTIF($G$2:$G$269,"&gt;0")) + 1)</f>
        <v/>
      </c>
      <c r="R98" t="str">
        <f>IF(H98=0,"","Q"&amp;INT(4*( RANK(H98, IF($H$2:$H$269&lt;&gt;0, $H$2:$H$269), 0) - 1 ) / COUNTIF($H$2:$H$269,"&gt;0")) + 1)</f>
        <v/>
      </c>
      <c r="S98" t="str">
        <f>IF(I98=0,"","Q"&amp;INT(4*( RANK(I98, IF($I$2:$I$269&lt;&gt;0, $I$2:$I$269), 0) - 1 ) / COUNTIF($I$2:$I$269,"&gt;0")) + 1)</f>
        <v/>
      </c>
      <c r="T98" t="str">
        <f>IF(J98=0,"","Q"&amp;INT(4*( RANK(J98, IF($J$2:$J$269&lt;&gt;0, $J$2:$J$269), 0) - 1 ) / COUNTIF($J$2:$J$269,"&gt;0")) + 1)</f>
        <v/>
      </c>
      <c r="U98" t="str">
        <f>IF(K98=0,"","Q"&amp;INT(4*( RANK(K98, IF($K$2:$K$269&lt;&gt;0, $K$2:$K$269), 0) - 1 ) / COUNTIF($K$2:$K$269,"&gt;0")) + 1)</f>
        <v/>
      </c>
    </row>
    <row r="99" spans="1:21" x14ac:dyDescent="0.2">
      <c r="A99" t="s">
        <v>969</v>
      </c>
      <c r="B99" s="2">
        <v>0</v>
      </c>
      <c r="C99" s="2">
        <v>0</v>
      </c>
      <c r="D99" s="2">
        <v>0</v>
      </c>
      <c r="E99" s="2">
        <v>1.26050420168067E-2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t="str">
        <f>IF(B99=0,"","Q"&amp;INT(4*( RANK(B99, IF($B$2:$B$269&lt;&gt;0, $B$2:$B$269), 0) - 1 ) / COUNTIF($B$2:$B$269,"&gt;0")) + 1)</f>
        <v/>
      </c>
      <c r="M99" t="str">
        <f>IF(C99=0,"","Q"&amp;INT(4*( RANK(C99, IF($C$2:$C$269&lt;&gt;0, $C$2:$C$269), 0) - 1 ) / COUNTIF($C$2:$C$269,"&gt;0")) + 1)</f>
        <v/>
      </c>
      <c r="N99" t="str">
        <f>IF(D99=0,"","Q"&amp;INT(4*( RANK(D99, IF($D$2:$D$269&lt;&gt;0, $D$2:$D$269), 0) - 1 ) / COUNTIF($D$2:$D$269,"&gt;0")) + 1)</f>
        <v/>
      </c>
      <c r="O99" t="str">
        <f>IF(E99=0,"","Q"&amp;INT(4*( RANK(E99, IF($E$2:$E$269&lt;&gt;0, $E$2:$E$269), 0) - 1 ) / COUNTIF($E$2:$E$269,"&gt;0")) + 1)</f>
        <v>Q2</v>
      </c>
      <c r="P99" t="str">
        <f>IF(F99=0,"","Q"&amp;INT(4*( RANK(F99, IF($F$2:$F$269&lt;&gt;0, $F$2:$F$269), 0) - 1 ) / COUNTIF($F$2:$F$269,"&gt;0")) + 1)</f>
        <v/>
      </c>
      <c r="Q99" t="str">
        <f>IF(G99=0,"","Q"&amp;INT(4*( RANK(G99, IF($G$2:$G$269&lt;&gt;0, $G$2:$G$269), 0) - 1 ) / COUNTIF($G$2:$G$269,"&gt;0")) + 1)</f>
        <v/>
      </c>
      <c r="R99" t="str">
        <f>IF(H99=0,"","Q"&amp;INT(4*( RANK(H99, IF($H$2:$H$269&lt;&gt;0, $H$2:$H$269), 0) - 1 ) / COUNTIF($H$2:$H$269,"&gt;0")) + 1)</f>
        <v/>
      </c>
      <c r="S99" t="str">
        <f>IF(I99=0,"","Q"&amp;INT(4*( RANK(I99, IF($I$2:$I$269&lt;&gt;0, $I$2:$I$269), 0) - 1 ) / COUNTIF($I$2:$I$269,"&gt;0")) + 1)</f>
        <v/>
      </c>
      <c r="T99" t="str">
        <f>IF(J99=0,"","Q"&amp;INT(4*( RANK(J99, IF($J$2:$J$269&lt;&gt;0, $J$2:$J$269), 0) - 1 ) / COUNTIF($J$2:$J$269,"&gt;0")) + 1)</f>
        <v/>
      </c>
      <c r="U99" t="str">
        <f>IF(K99=0,"","Q"&amp;INT(4*( RANK(K99, IF($K$2:$K$269&lt;&gt;0, $K$2:$K$269), 0) - 1 ) / COUNTIF($K$2:$K$269,"&gt;0")) + 1)</f>
        <v/>
      </c>
    </row>
    <row r="100" spans="1:21" x14ac:dyDescent="0.2">
      <c r="A100" t="s">
        <v>970</v>
      </c>
      <c r="B100" s="2">
        <v>0</v>
      </c>
      <c r="C100" s="2">
        <v>0</v>
      </c>
      <c r="D100" s="2">
        <v>0</v>
      </c>
      <c r="E100" s="2">
        <v>0</v>
      </c>
      <c r="F100" s="2">
        <v>7.69230769230769E-2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t="str">
        <f>IF(B100=0,"","Q"&amp;INT(4*( RANK(B100, IF($B$2:$B$269&lt;&gt;0, $B$2:$B$269), 0) - 1 ) / COUNTIF($B$2:$B$269,"&gt;0")) + 1)</f>
        <v/>
      </c>
      <c r="M100" t="str">
        <f>IF(C100=0,"","Q"&amp;INT(4*( RANK(C100, IF($C$2:$C$269&lt;&gt;0, $C$2:$C$269), 0) - 1 ) / COUNTIF($C$2:$C$269,"&gt;0")) + 1)</f>
        <v/>
      </c>
      <c r="N100" t="str">
        <f>IF(D100=0,"","Q"&amp;INT(4*( RANK(D100, IF($D$2:$D$269&lt;&gt;0, $D$2:$D$269), 0) - 1 ) / COUNTIF($D$2:$D$269,"&gt;0")) + 1)</f>
        <v/>
      </c>
      <c r="O100" t="str">
        <f>IF(E100=0,"","Q"&amp;INT(4*( RANK(E100, IF($E$2:$E$269&lt;&gt;0, $E$2:$E$269), 0) - 1 ) / COUNTIF($E$2:$E$269,"&gt;0")) + 1)</f>
        <v/>
      </c>
      <c r="P100" t="str">
        <f>IF(F100=0,"","Q"&amp;INT(4*( RANK(F100, IF($F$2:$F$269&lt;&gt;0, $F$2:$F$269), 0) - 1 ) / COUNTIF($F$2:$F$269,"&gt;0")) + 1)</f>
        <v>Q3</v>
      </c>
      <c r="Q100" t="str">
        <f>IF(G100=0,"","Q"&amp;INT(4*( RANK(G100, IF($G$2:$G$269&lt;&gt;0, $G$2:$G$269), 0) - 1 ) / COUNTIF($G$2:$G$269,"&gt;0")) + 1)</f>
        <v/>
      </c>
      <c r="R100" t="str">
        <f>IF(H100=0,"","Q"&amp;INT(4*( RANK(H100, IF($H$2:$H$269&lt;&gt;0, $H$2:$H$269), 0) - 1 ) / COUNTIF($H$2:$H$269,"&gt;0")) + 1)</f>
        <v/>
      </c>
      <c r="S100" t="str">
        <f>IF(I100=0,"","Q"&amp;INT(4*( RANK(I100, IF($I$2:$I$269&lt;&gt;0, $I$2:$I$269), 0) - 1 ) / COUNTIF($I$2:$I$269,"&gt;0")) + 1)</f>
        <v/>
      </c>
      <c r="T100" t="str">
        <f>IF(J100=0,"","Q"&amp;INT(4*( RANK(J100, IF($J$2:$J$269&lt;&gt;0, $J$2:$J$269), 0) - 1 ) / COUNTIF($J$2:$J$269,"&gt;0")) + 1)</f>
        <v/>
      </c>
      <c r="U100" t="str">
        <f>IF(K100=0,"","Q"&amp;INT(4*( RANK(K100, IF($K$2:$K$269&lt;&gt;0, $K$2:$K$269), 0) - 1 ) / COUNTIF($K$2:$K$269,"&gt;0")) + 1)</f>
        <v/>
      </c>
    </row>
    <row r="101" spans="1:21" x14ac:dyDescent="0.2">
      <c r="A101" t="s">
        <v>971</v>
      </c>
      <c r="B101" s="2">
        <v>0</v>
      </c>
      <c r="C101" s="2">
        <v>0</v>
      </c>
      <c r="D101" s="2">
        <v>0</v>
      </c>
      <c r="E101" s="2">
        <v>1.6806722689075598E-2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t="str">
        <f>IF(B101=0,"","Q"&amp;INT(4*( RANK(B101, IF($B$2:$B$269&lt;&gt;0, $B$2:$B$269), 0) - 1 ) / COUNTIF($B$2:$B$269,"&gt;0")) + 1)</f>
        <v/>
      </c>
      <c r="M101" t="str">
        <f>IF(C101=0,"","Q"&amp;INT(4*( RANK(C101, IF($C$2:$C$269&lt;&gt;0, $C$2:$C$269), 0) - 1 ) / COUNTIF($C$2:$C$269,"&gt;0")) + 1)</f>
        <v/>
      </c>
      <c r="N101" t="str">
        <f>IF(D101=0,"","Q"&amp;INT(4*( RANK(D101, IF($D$2:$D$269&lt;&gt;0, $D$2:$D$269), 0) - 1 ) / COUNTIF($D$2:$D$269,"&gt;0")) + 1)</f>
        <v/>
      </c>
      <c r="O101" t="str">
        <f>IF(E101=0,"","Q"&amp;INT(4*( RANK(E101, IF($E$2:$E$269&lt;&gt;0, $E$2:$E$269), 0) - 1 ) / COUNTIF($E$2:$E$269,"&gt;0")) + 1)</f>
        <v>Q2</v>
      </c>
      <c r="P101" t="str">
        <f>IF(F101=0,"","Q"&amp;INT(4*( RANK(F101, IF($F$2:$F$269&lt;&gt;0, $F$2:$F$269), 0) - 1 ) / COUNTIF($F$2:$F$269,"&gt;0")) + 1)</f>
        <v/>
      </c>
      <c r="Q101" t="str">
        <f>IF(G101=0,"","Q"&amp;INT(4*( RANK(G101, IF($G$2:$G$269&lt;&gt;0, $G$2:$G$269), 0) - 1 ) / COUNTIF($G$2:$G$269,"&gt;0")) + 1)</f>
        <v/>
      </c>
      <c r="R101" t="str">
        <f>IF(H101=0,"","Q"&amp;INT(4*( RANK(H101, IF($H$2:$H$269&lt;&gt;0, $H$2:$H$269), 0) - 1 ) / COUNTIF($H$2:$H$269,"&gt;0")) + 1)</f>
        <v/>
      </c>
      <c r="S101" t="str">
        <f>IF(I101=0,"","Q"&amp;INT(4*( RANK(I101, IF($I$2:$I$269&lt;&gt;0, $I$2:$I$269), 0) - 1 ) / COUNTIF($I$2:$I$269,"&gt;0")) + 1)</f>
        <v/>
      </c>
      <c r="T101" t="str">
        <f>IF(J101=0,"","Q"&amp;INT(4*( RANK(J101, IF($J$2:$J$269&lt;&gt;0, $J$2:$J$269), 0) - 1 ) / COUNTIF($J$2:$J$269,"&gt;0")) + 1)</f>
        <v/>
      </c>
      <c r="U101" t="str">
        <f>IF(K101=0,"","Q"&amp;INT(4*( RANK(K101, IF($K$2:$K$269&lt;&gt;0, $K$2:$K$269), 0) - 1 ) / COUNTIF($K$2:$K$269,"&gt;0")) + 1)</f>
        <v/>
      </c>
    </row>
    <row r="102" spans="1:21" x14ac:dyDescent="0.2">
      <c r="A102" t="s">
        <v>972</v>
      </c>
      <c r="B102" s="2">
        <v>0</v>
      </c>
      <c r="C102" s="2">
        <v>0</v>
      </c>
      <c r="D102" s="2">
        <v>0</v>
      </c>
      <c r="E102" s="2">
        <v>1.26050420168067E-2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t="str">
        <f>IF(B102=0,"","Q"&amp;INT(4*( RANK(B102, IF($B$2:$B$269&lt;&gt;0, $B$2:$B$269), 0) - 1 ) / COUNTIF($B$2:$B$269,"&gt;0")) + 1)</f>
        <v/>
      </c>
      <c r="M102" t="str">
        <f>IF(C102=0,"","Q"&amp;INT(4*( RANK(C102, IF($C$2:$C$269&lt;&gt;0, $C$2:$C$269), 0) - 1 ) / COUNTIF($C$2:$C$269,"&gt;0")) + 1)</f>
        <v/>
      </c>
      <c r="N102" t="str">
        <f>IF(D102=0,"","Q"&amp;INT(4*( RANK(D102, IF($D$2:$D$269&lt;&gt;0, $D$2:$D$269), 0) - 1 ) / COUNTIF($D$2:$D$269,"&gt;0")) + 1)</f>
        <v/>
      </c>
      <c r="O102" t="str">
        <f>IF(E102=0,"","Q"&amp;INT(4*( RANK(E102, IF($E$2:$E$269&lt;&gt;0, $E$2:$E$269), 0) - 1 ) / COUNTIF($E$2:$E$269,"&gt;0")) + 1)</f>
        <v>Q2</v>
      </c>
      <c r="P102" t="str">
        <f>IF(F102=0,"","Q"&amp;INT(4*( RANK(F102, IF($F$2:$F$269&lt;&gt;0, $F$2:$F$269), 0) - 1 ) / COUNTIF($F$2:$F$269,"&gt;0")) + 1)</f>
        <v/>
      </c>
      <c r="Q102" t="str">
        <f>IF(G102=0,"","Q"&amp;INT(4*( RANK(G102, IF($G$2:$G$269&lt;&gt;0, $G$2:$G$269), 0) - 1 ) / COUNTIF($G$2:$G$269,"&gt;0")) + 1)</f>
        <v/>
      </c>
      <c r="R102" t="str">
        <f>IF(H102=0,"","Q"&amp;INT(4*( RANK(H102, IF($H$2:$H$269&lt;&gt;0, $H$2:$H$269), 0) - 1 ) / COUNTIF($H$2:$H$269,"&gt;0")) + 1)</f>
        <v/>
      </c>
      <c r="S102" t="str">
        <f>IF(I102=0,"","Q"&amp;INT(4*( RANK(I102, IF($I$2:$I$269&lt;&gt;0, $I$2:$I$269), 0) - 1 ) / COUNTIF($I$2:$I$269,"&gt;0")) + 1)</f>
        <v/>
      </c>
      <c r="T102" t="str">
        <f>IF(J102=0,"","Q"&amp;INT(4*( RANK(J102, IF($J$2:$J$269&lt;&gt;0, $J$2:$J$269), 0) - 1 ) / COUNTIF($J$2:$J$269,"&gt;0")) + 1)</f>
        <v/>
      </c>
      <c r="U102" t="str">
        <f>IF(K102=0,"","Q"&amp;INT(4*( RANK(K102, IF($K$2:$K$269&lt;&gt;0, $K$2:$K$269), 0) - 1 ) / COUNTIF($K$2:$K$269,"&gt;0")) + 1)</f>
        <v/>
      </c>
    </row>
    <row r="103" spans="1:21" x14ac:dyDescent="0.2">
      <c r="A103" t="s">
        <v>973</v>
      </c>
      <c r="B103" s="2">
        <v>0</v>
      </c>
      <c r="C103" s="2">
        <v>0</v>
      </c>
      <c r="D103" s="2">
        <v>0</v>
      </c>
      <c r="E103" s="2">
        <v>3.3613445378151197E-2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t="str">
        <f>IF(B103=0,"","Q"&amp;INT(4*( RANK(B103, IF($B$2:$B$269&lt;&gt;0, $B$2:$B$269), 0) - 1 ) / COUNTIF($B$2:$B$269,"&gt;0")) + 1)</f>
        <v/>
      </c>
      <c r="M103" t="str">
        <f>IF(C103=0,"","Q"&amp;INT(4*( RANK(C103, IF($C$2:$C$269&lt;&gt;0, $C$2:$C$269), 0) - 1 ) / COUNTIF($C$2:$C$269,"&gt;0")) + 1)</f>
        <v/>
      </c>
      <c r="N103" t="str">
        <f>IF(D103=0,"","Q"&amp;INT(4*( RANK(D103, IF($D$2:$D$269&lt;&gt;0, $D$2:$D$269), 0) - 1 ) / COUNTIF($D$2:$D$269,"&gt;0")) + 1)</f>
        <v/>
      </c>
      <c r="O103" t="str">
        <f>IF(E103=0,"","Q"&amp;INT(4*( RANK(E103, IF($E$2:$E$269&lt;&gt;0, $E$2:$E$269), 0) - 1 ) / COUNTIF($E$2:$E$269,"&gt;0")) + 1)</f>
        <v>Q1</v>
      </c>
      <c r="P103" t="str">
        <f>IF(F103=0,"","Q"&amp;INT(4*( RANK(F103, IF($F$2:$F$269&lt;&gt;0, $F$2:$F$269), 0) - 1 ) / COUNTIF($F$2:$F$269,"&gt;0")) + 1)</f>
        <v/>
      </c>
      <c r="Q103" t="str">
        <f>IF(G103=0,"","Q"&amp;INT(4*( RANK(G103, IF($G$2:$G$269&lt;&gt;0, $G$2:$G$269), 0) - 1 ) / COUNTIF($G$2:$G$269,"&gt;0")) + 1)</f>
        <v/>
      </c>
      <c r="R103" t="str">
        <f>IF(H103=0,"","Q"&amp;INT(4*( RANK(H103, IF($H$2:$H$269&lt;&gt;0, $H$2:$H$269), 0) - 1 ) / COUNTIF($H$2:$H$269,"&gt;0")) + 1)</f>
        <v/>
      </c>
      <c r="S103" t="str">
        <f>IF(I103=0,"","Q"&amp;INT(4*( RANK(I103, IF($I$2:$I$269&lt;&gt;0, $I$2:$I$269), 0) - 1 ) / COUNTIF($I$2:$I$269,"&gt;0")) + 1)</f>
        <v/>
      </c>
      <c r="T103" t="str">
        <f>IF(J103=0,"","Q"&amp;INT(4*( RANK(J103, IF($J$2:$J$269&lt;&gt;0, $J$2:$J$269), 0) - 1 ) / COUNTIF($J$2:$J$269,"&gt;0")) + 1)</f>
        <v/>
      </c>
      <c r="U103" t="str">
        <f>IF(K103=0,"","Q"&amp;INT(4*( RANK(K103, IF($K$2:$K$269&lt;&gt;0, $K$2:$K$269), 0) - 1 ) / COUNTIF($K$2:$K$269,"&gt;0")) + 1)</f>
        <v/>
      </c>
    </row>
    <row r="104" spans="1:21" x14ac:dyDescent="0.2">
      <c r="A104" t="s">
        <v>974</v>
      </c>
      <c r="B104" s="2">
        <v>0</v>
      </c>
      <c r="C104" s="2">
        <v>0.6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t="str">
        <f>IF(B104=0,"","Q"&amp;INT(4*( RANK(B104, IF($B$2:$B$269&lt;&gt;0, $B$2:$B$269), 0) - 1 ) / COUNTIF($B$2:$B$269,"&gt;0")) + 1)</f>
        <v/>
      </c>
      <c r="M104" t="str">
        <f>IF(C104=0,"","Q"&amp;INT(4*( RANK(C104, IF($C$2:$C$269&lt;&gt;0, $C$2:$C$269), 0) - 1 ) / COUNTIF($C$2:$C$269,"&gt;0")) + 1)</f>
        <v>Q1</v>
      </c>
      <c r="N104" t="str">
        <f>IF(D104=0,"","Q"&amp;INT(4*( RANK(D104, IF($D$2:$D$269&lt;&gt;0, $D$2:$D$269), 0) - 1 ) / COUNTIF($D$2:$D$269,"&gt;0")) + 1)</f>
        <v/>
      </c>
      <c r="O104" t="str">
        <f>IF(E104=0,"","Q"&amp;INT(4*( RANK(E104, IF($E$2:$E$269&lt;&gt;0, $E$2:$E$269), 0) - 1 ) / COUNTIF($E$2:$E$269,"&gt;0")) + 1)</f>
        <v/>
      </c>
      <c r="P104" t="str">
        <f>IF(F104=0,"","Q"&amp;INT(4*( RANK(F104, IF($F$2:$F$269&lt;&gt;0, $F$2:$F$269), 0) - 1 ) / COUNTIF($F$2:$F$269,"&gt;0")) + 1)</f>
        <v/>
      </c>
      <c r="Q104" t="str">
        <f>IF(G104=0,"","Q"&amp;INT(4*( RANK(G104, IF($G$2:$G$269&lt;&gt;0, $G$2:$G$269), 0) - 1 ) / COUNTIF($G$2:$G$269,"&gt;0")) + 1)</f>
        <v/>
      </c>
      <c r="R104" t="str">
        <f>IF(H104=0,"","Q"&amp;INT(4*( RANK(H104, IF($H$2:$H$269&lt;&gt;0, $H$2:$H$269), 0) - 1 ) / COUNTIF($H$2:$H$269,"&gt;0")) + 1)</f>
        <v/>
      </c>
      <c r="S104" t="str">
        <f>IF(I104=0,"","Q"&amp;INT(4*( RANK(I104, IF($I$2:$I$269&lt;&gt;0, $I$2:$I$269), 0) - 1 ) / COUNTIF($I$2:$I$269,"&gt;0")) + 1)</f>
        <v/>
      </c>
      <c r="T104" t="str">
        <f>IF(J104=0,"","Q"&amp;INT(4*( RANK(J104, IF($J$2:$J$269&lt;&gt;0, $J$2:$J$269), 0) - 1 ) / COUNTIF($J$2:$J$269,"&gt;0")) + 1)</f>
        <v/>
      </c>
      <c r="U104" t="str">
        <f>IF(K104=0,"","Q"&amp;INT(4*( RANK(K104, IF($K$2:$K$269&lt;&gt;0, $K$2:$K$269), 0) - 1 ) / COUNTIF($K$2:$K$269,"&gt;0")) + 1)</f>
        <v/>
      </c>
    </row>
    <row r="105" spans="1:21" x14ac:dyDescent="0.2">
      <c r="A105" t="s">
        <v>975</v>
      </c>
      <c r="B105" s="2">
        <v>0</v>
      </c>
      <c r="C105" s="2">
        <v>0</v>
      </c>
      <c r="D105" s="2">
        <v>0</v>
      </c>
      <c r="E105" s="2">
        <v>1.26050420168067E-2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t="str">
        <f>IF(B105=0,"","Q"&amp;INT(4*( RANK(B105, IF($B$2:$B$269&lt;&gt;0, $B$2:$B$269), 0) - 1 ) / COUNTIF($B$2:$B$269,"&gt;0")) + 1)</f>
        <v/>
      </c>
      <c r="M105" t="str">
        <f>IF(C105=0,"","Q"&amp;INT(4*( RANK(C105, IF($C$2:$C$269&lt;&gt;0, $C$2:$C$269), 0) - 1 ) / COUNTIF($C$2:$C$269,"&gt;0")) + 1)</f>
        <v/>
      </c>
      <c r="N105" t="str">
        <f>IF(D105=0,"","Q"&amp;INT(4*( RANK(D105, IF($D$2:$D$269&lt;&gt;0, $D$2:$D$269), 0) - 1 ) / COUNTIF($D$2:$D$269,"&gt;0")) + 1)</f>
        <v/>
      </c>
      <c r="O105" t="str">
        <f>IF(E105=0,"","Q"&amp;INT(4*( RANK(E105, IF($E$2:$E$269&lt;&gt;0, $E$2:$E$269), 0) - 1 ) / COUNTIF($E$2:$E$269,"&gt;0")) + 1)</f>
        <v>Q2</v>
      </c>
      <c r="P105" t="str">
        <f>IF(F105=0,"","Q"&amp;INT(4*( RANK(F105, IF($F$2:$F$269&lt;&gt;0, $F$2:$F$269), 0) - 1 ) / COUNTIF($F$2:$F$269,"&gt;0")) + 1)</f>
        <v/>
      </c>
      <c r="Q105" t="str">
        <f>IF(G105=0,"","Q"&amp;INT(4*( RANK(G105, IF($G$2:$G$269&lt;&gt;0, $G$2:$G$269), 0) - 1 ) / COUNTIF($G$2:$G$269,"&gt;0")) + 1)</f>
        <v/>
      </c>
      <c r="R105" t="str">
        <f>IF(H105=0,"","Q"&amp;INT(4*( RANK(H105, IF($H$2:$H$269&lt;&gt;0, $H$2:$H$269), 0) - 1 ) / COUNTIF($H$2:$H$269,"&gt;0")) + 1)</f>
        <v/>
      </c>
      <c r="S105" t="str">
        <f>IF(I105=0,"","Q"&amp;INT(4*( RANK(I105, IF($I$2:$I$269&lt;&gt;0, $I$2:$I$269), 0) - 1 ) / COUNTIF($I$2:$I$269,"&gt;0")) + 1)</f>
        <v/>
      </c>
      <c r="T105" t="str">
        <f>IF(J105=0,"","Q"&amp;INT(4*( RANK(J105, IF($J$2:$J$269&lt;&gt;0, $J$2:$J$269), 0) - 1 ) / COUNTIF($J$2:$J$269,"&gt;0")) + 1)</f>
        <v/>
      </c>
      <c r="U105" t="str">
        <f>IF(K105=0,"","Q"&amp;INT(4*( RANK(K105, IF($K$2:$K$269&lt;&gt;0, $K$2:$K$269), 0) - 1 ) / COUNTIF($K$2:$K$269,"&gt;0")) + 1)</f>
        <v/>
      </c>
    </row>
    <row r="106" spans="1:21" x14ac:dyDescent="0.2">
      <c r="A106" t="s">
        <v>1048</v>
      </c>
      <c r="B106" s="2">
        <v>0</v>
      </c>
      <c r="C106" s="2">
        <v>0</v>
      </c>
      <c r="D106" s="2">
        <v>0</v>
      </c>
      <c r="E106" s="2">
        <v>8.4033613445378096E-3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t="str">
        <f>IF(B106=0,"","Q"&amp;INT(4*( RANK(B106, IF($B$2:$B$269&lt;&gt;0, $B$2:$B$269), 0) - 1 ) / COUNTIF($B$2:$B$269,"&gt;0")) + 1)</f>
        <v/>
      </c>
      <c r="M106" t="str">
        <f>IF(C106=0,"","Q"&amp;INT(4*( RANK(C106, IF($C$2:$C$269&lt;&gt;0, $C$2:$C$269), 0) - 1 ) / COUNTIF($C$2:$C$269,"&gt;0")) + 1)</f>
        <v/>
      </c>
      <c r="N106" t="str">
        <f>IF(D106=0,"","Q"&amp;INT(4*( RANK(D106, IF($D$2:$D$269&lt;&gt;0, $D$2:$D$269), 0) - 1 ) / COUNTIF($D$2:$D$269,"&gt;0")) + 1)</f>
        <v/>
      </c>
      <c r="O106" t="str">
        <f>IF(E106=0,"","Q"&amp;INT(4*( RANK(E106, IF($E$2:$E$269&lt;&gt;0, $E$2:$E$269), 0) - 1 ) / COUNTIF($E$2:$E$269,"&gt;0")) + 1)</f>
        <v>Q3</v>
      </c>
      <c r="P106" t="str">
        <f>IF(F106=0,"","Q"&amp;INT(4*( RANK(F106, IF($F$2:$F$269&lt;&gt;0, $F$2:$F$269), 0) - 1 ) / COUNTIF($F$2:$F$269,"&gt;0")) + 1)</f>
        <v/>
      </c>
      <c r="Q106" t="str">
        <f>IF(G106=0,"","Q"&amp;INT(4*( RANK(G106, IF($G$2:$G$269&lt;&gt;0, $G$2:$G$269), 0) - 1 ) / COUNTIF($G$2:$G$269,"&gt;0")) + 1)</f>
        <v/>
      </c>
      <c r="R106" t="str">
        <f>IF(H106=0,"","Q"&amp;INT(4*( RANK(H106, IF($H$2:$H$269&lt;&gt;0, $H$2:$H$269), 0) - 1 ) / COUNTIF($H$2:$H$269,"&gt;0")) + 1)</f>
        <v/>
      </c>
      <c r="S106" t="str">
        <f>IF(I106=0,"","Q"&amp;INT(4*( RANK(I106, IF($I$2:$I$269&lt;&gt;0, $I$2:$I$269), 0) - 1 ) / COUNTIF($I$2:$I$269,"&gt;0")) + 1)</f>
        <v/>
      </c>
      <c r="T106" t="str">
        <f>IF(J106=0,"","Q"&amp;INT(4*( RANK(J106, IF($J$2:$J$269&lt;&gt;0, $J$2:$J$269), 0) - 1 ) / COUNTIF($J$2:$J$269,"&gt;0")) + 1)</f>
        <v/>
      </c>
      <c r="U106" t="str">
        <f>IF(K106=0,"","Q"&amp;INT(4*( RANK(K106, IF($K$2:$K$269&lt;&gt;0, $K$2:$K$269), 0) - 1 ) / COUNTIF($K$2:$K$269,"&gt;0")) + 1)</f>
        <v/>
      </c>
    </row>
    <row r="107" spans="1:21" x14ac:dyDescent="0.2">
      <c r="A107" t="s">
        <v>1049</v>
      </c>
      <c r="B107" s="2">
        <v>0</v>
      </c>
      <c r="C107" s="2">
        <v>0</v>
      </c>
      <c r="D107" s="2">
        <v>0</v>
      </c>
      <c r="E107" s="2">
        <v>3.3613445378151197E-2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t="str">
        <f>IF(B107=0,"","Q"&amp;INT(4*( RANK(B107, IF($B$2:$B$269&lt;&gt;0, $B$2:$B$269), 0) - 1 ) / COUNTIF($B$2:$B$269,"&gt;0")) + 1)</f>
        <v/>
      </c>
      <c r="M107" t="str">
        <f>IF(C107=0,"","Q"&amp;INT(4*( RANK(C107, IF($C$2:$C$269&lt;&gt;0, $C$2:$C$269), 0) - 1 ) / COUNTIF($C$2:$C$269,"&gt;0")) + 1)</f>
        <v/>
      </c>
      <c r="N107" t="str">
        <f>IF(D107=0,"","Q"&amp;INT(4*( RANK(D107, IF($D$2:$D$269&lt;&gt;0, $D$2:$D$269), 0) - 1 ) / COUNTIF($D$2:$D$269,"&gt;0")) + 1)</f>
        <v/>
      </c>
      <c r="O107" t="str">
        <f>IF(E107=0,"","Q"&amp;INT(4*( RANK(E107, IF($E$2:$E$269&lt;&gt;0, $E$2:$E$269), 0) - 1 ) / COUNTIF($E$2:$E$269,"&gt;0")) + 1)</f>
        <v>Q1</v>
      </c>
      <c r="P107" t="str">
        <f>IF(F107=0,"","Q"&amp;INT(4*( RANK(F107, IF($F$2:$F$269&lt;&gt;0, $F$2:$F$269), 0) - 1 ) / COUNTIF($F$2:$F$269,"&gt;0")) + 1)</f>
        <v/>
      </c>
      <c r="Q107" t="str">
        <f>IF(G107=0,"","Q"&amp;INT(4*( RANK(G107, IF($G$2:$G$269&lt;&gt;0, $G$2:$G$269), 0) - 1 ) / COUNTIF($G$2:$G$269,"&gt;0")) + 1)</f>
        <v/>
      </c>
      <c r="R107" t="str">
        <f>IF(H107=0,"","Q"&amp;INT(4*( RANK(H107, IF($H$2:$H$269&lt;&gt;0, $H$2:$H$269), 0) - 1 ) / COUNTIF($H$2:$H$269,"&gt;0")) + 1)</f>
        <v/>
      </c>
      <c r="S107" t="str">
        <f>IF(I107=0,"","Q"&amp;INT(4*( RANK(I107, IF($I$2:$I$269&lt;&gt;0, $I$2:$I$269), 0) - 1 ) / COUNTIF($I$2:$I$269,"&gt;0")) + 1)</f>
        <v/>
      </c>
      <c r="T107" t="str">
        <f>IF(J107=0,"","Q"&amp;INT(4*( RANK(J107, IF($J$2:$J$269&lt;&gt;0, $J$2:$J$269), 0) - 1 ) / COUNTIF($J$2:$J$269,"&gt;0")) + 1)</f>
        <v/>
      </c>
      <c r="U107" t="str">
        <f>IF(K107=0,"","Q"&amp;INT(4*( RANK(K107, IF($K$2:$K$269&lt;&gt;0, $K$2:$K$269), 0) - 1 ) / COUNTIF($K$2:$K$269,"&gt;0")) + 1)</f>
        <v/>
      </c>
    </row>
    <row r="108" spans="1:21" x14ac:dyDescent="0.2">
      <c r="A108" t="s">
        <v>1050</v>
      </c>
      <c r="B108" s="2">
        <v>0</v>
      </c>
      <c r="C108" s="2">
        <v>0</v>
      </c>
      <c r="D108" s="2">
        <v>0.28571428571428498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t="str">
        <f>IF(B108=0,"","Q"&amp;INT(4*( RANK(B108, IF($B$2:$B$269&lt;&gt;0, $B$2:$B$269), 0) - 1 ) / COUNTIF($B$2:$B$269,"&gt;0")) + 1)</f>
        <v/>
      </c>
      <c r="M108" t="str">
        <f>IF(C108=0,"","Q"&amp;INT(4*( RANK(C108, IF($C$2:$C$269&lt;&gt;0, $C$2:$C$269), 0) - 1 ) / COUNTIF($C$2:$C$269,"&gt;0")) + 1)</f>
        <v/>
      </c>
      <c r="N108" t="str">
        <f>IF(D108=0,"","Q"&amp;INT(4*( RANK(D108, IF($D$2:$D$269&lt;&gt;0, $D$2:$D$269), 0) - 1 ) / COUNTIF($D$2:$D$269,"&gt;0")) + 1)</f>
        <v>Q1</v>
      </c>
      <c r="O108" t="str">
        <f>IF(E108=0,"","Q"&amp;INT(4*( RANK(E108, IF($E$2:$E$269&lt;&gt;0, $E$2:$E$269), 0) - 1 ) / COUNTIF($E$2:$E$269,"&gt;0")) + 1)</f>
        <v/>
      </c>
      <c r="P108" t="str">
        <f>IF(F108=0,"","Q"&amp;INT(4*( RANK(F108, IF($F$2:$F$269&lt;&gt;0, $F$2:$F$269), 0) - 1 ) / COUNTIF($F$2:$F$269,"&gt;0")) + 1)</f>
        <v/>
      </c>
      <c r="Q108" t="str">
        <f>IF(G108=0,"","Q"&amp;INT(4*( RANK(G108, IF($G$2:$G$269&lt;&gt;0, $G$2:$G$269), 0) - 1 ) / COUNTIF($G$2:$G$269,"&gt;0")) + 1)</f>
        <v/>
      </c>
      <c r="R108" t="str">
        <f>IF(H108=0,"","Q"&amp;INT(4*( RANK(H108, IF($H$2:$H$269&lt;&gt;0, $H$2:$H$269), 0) - 1 ) / COUNTIF($H$2:$H$269,"&gt;0")) + 1)</f>
        <v/>
      </c>
      <c r="S108" t="str">
        <f>IF(I108=0,"","Q"&amp;INT(4*( RANK(I108, IF($I$2:$I$269&lt;&gt;0, $I$2:$I$269), 0) - 1 ) / COUNTIF($I$2:$I$269,"&gt;0")) + 1)</f>
        <v/>
      </c>
      <c r="T108" t="str">
        <f>IF(J108=0,"","Q"&amp;INT(4*( RANK(J108, IF($J$2:$J$269&lt;&gt;0, $J$2:$J$269), 0) - 1 ) / COUNTIF($J$2:$J$269,"&gt;0")) + 1)</f>
        <v/>
      </c>
      <c r="U108" t="str">
        <f>IF(K108=0,"","Q"&amp;INT(4*( RANK(K108, IF($K$2:$K$269&lt;&gt;0, $K$2:$K$269), 0) - 1 ) / COUNTIF($K$2:$K$269,"&gt;0")) + 1)</f>
        <v/>
      </c>
    </row>
    <row r="109" spans="1:21" x14ac:dyDescent="0.2">
      <c r="A109" t="s">
        <v>1051</v>
      </c>
      <c r="B109" s="2">
        <v>0</v>
      </c>
      <c r="C109" s="2">
        <v>0</v>
      </c>
      <c r="D109" s="2">
        <v>0.238095238095238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t="str">
        <f>IF(B109=0,"","Q"&amp;INT(4*( RANK(B109, IF($B$2:$B$269&lt;&gt;0, $B$2:$B$269), 0) - 1 ) / COUNTIF($B$2:$B$269,"&gt;0")) + 1)</f>
        <v/>
      </c>
      <c r="M109" t="str">
        <f>IF(C109=0,"","Q"&amp;INT(4*( RANK(C109, IF($C$2:$C$269&lt;&gt;0, $C$2:$C$269), 0) - 1 ) / COUNTIF($C$2:$C$269,"&gt;0")) + 1)</f>
        <v/>
      </c>
      <c r="N109" t="str">
        <f>IF(D109=0,"","Q"&amp;INT(4*( RANK(D109, IF($D$2:$D$269&lt;&gt;0, $D$2:$D$269), 0) - 1 ) / COUNTIF($D$2:$D$269,"&gt;0")) + 1)</f>
        <v>Q2</v>
      </c>
      <c r="O109" t="str">
        <f>IF(E109=0,"","Q"&amp;INT(4*( RANK(E109, IF($E$2:$E$269&lt;&gt;0, $E$2:$E$269), 0) - 1 ) / COUNTIF($E$2:$E$269,"&gt;0")) + 1)</f>
        <v/>
      </c>
      <c r="P109" t="str">
        <f>IF(F109=0,"","Q"&amp;INT(4*( RANK(F109, IF($F$2:$F$269&lt;&gt;0, $F$2:$F$269), 0) - 1 ) / COUNTIF($F$2:$F$269,"&gt;0")) + 1)</f>
        <v/>
      </c>
      <c r="Q109" t="str">
        <f>IF(G109=0,"","Q"&amp;INT(4*( RANK(G109, IF($G$2:$G$269&lt;&gt;0, $G$2:$G$269), 0) - 1 ) / COUNTIF($G$2:$G$269,"&gt;0")) + 1)</f>
        <v/>
      </c>
      <c r="R109" t="str">
        <f>IF(H109=0,"","Q"&amp;INT(4*( RANK(H109, IF($H$2:$H$269&lt;&gt;0, $H$2:$H$269), 0) - 1 ) / COUNTIF($H$2:$H$269,"&gt;0")) + 1)</f>
        <v/>
      </c>
      <c r="S109" t="str">
        <f>IF(I109=0,"","Q"&amp;INT(4*( RANK(I109, IF($I$2:$I$269&lt;&gt;0, $I$2:$I$269), 0) - 1 ) / COUNTIF($I$2:$I$269,"&gt;0")) + 1)</f>
        <v/>
      </c>
      <c r="T109" t="str">
        <f>IF(J109=0,"","Q"&amp;INT(4*( RANK(J109, IF($J$2:$J$269&lt;&gt;0, $J$2:$J$269), 0) - 1 ) / COUNTIF($J$2:$J$269,"&gt;0")) + 1)</f>
        <v/>
      </c>
      <c r="U109" t="str">
        <f>IF(K109=0,"","Q"&amp;INT(4*( RANK(K109, IF($K$2:$K$269&lt;&gt;0, $K$2:$K$269), 0) - 1 ) / COUNTIF($K$2:$K$269,"&gt;0")) + 1)</f>
        <v/>
      </c>
    </row>
    <row r="110" spans="1:21" x14ac:dyDescent="0.2">
      <c r="A110" s="8" t="s">
        <v>179</v>
      </c>
      <c r="B110" s="2">
        <v>0</v>
      </c>
      <c r="C110" s="2">
        <v>0</v>
      </c>
      <c r="D110" s="2">
        <v>0</v>
      </c>
      <c r="E110" s="2">
        <v>0.14199999999999999</v>
      </c>
      <c r="F110" s="2">
        <v>0.19230769230769201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t="str">
        <f>IF(B110=0,"","Q"&amp;INT(4*( RANK(B110, IF($B$2:$B$269&lt;&gt;0, $B$2:$B$269), 0) - 1 ) / COUNTIF($B$2:$B$269,"&gt;0")) + 1)</f>
        <v/>
      </c>
      <c r="M110" t="str">
        <f>IF(C110=0,"","Q"&amp;INT(4*( RANK(C110, IF($C$2:$C$269&lt;&gt;0, $C$2:$C$269), 0) - 1 ) / COUNTIF($C$2:$C$269,"&gt;0")) + 1)</f>
        <v/>
      </c>
      <c r="N110" t="str">
        <f>IF(D110=0,"","Q"&amp;INT(4*( RANK(D110, IF($D$2:$D$269&lt;&gt;0, $D$2:$D$269), 0) - 1 ) / COUNTIF($D$2:$D$269,"&gt;0")) + 1)</f>
        <v/>
      </c>
      <c r="O110" t="str">
        <f>IF(E110=0,"","Q"&amp;INT(4*( RANK(E110, IF($E$2:$E$269&lt;&gt;0, $E$2:$E$269), 0) - 1 ) / COUNTIF($E$2:$E$269,"&gt;0")) + 1)</f>
        <v>Q1</v>
      </c>
      <c r="P110" t="str">
        <f>IF(F110=0,"","Q"&amp;INT(4*( RANK(F110, IF($F$2:$F$269&lt;&gt;0, $F$2:$F$269), 0) - 1 ) / COUNTIF($F$2:$F$269,"&gt;0")) + 1)</f>
        <v>Q1</v>
      </c>
      <c r="Q110" t="str">
        <f>IF(G110=0,"","Q"&amp;INT(4*( RANK(G110, IF($G$2:$G$269&lt;&gt;0, $G$2:$G$269), 0) - 1 ) / COUNTIF($G$2:$G$269,"&gt;0")) + 1)</f>
        <v/>
      </c>
      <c r="R110" t="str">
        <f>IF(H110=0,"","Q"&amp;INT(4*( RANK(H110, IF($H$2:$H$269&lt;&gt;0, $H$2:$H$269), 0) - 1 ) / COUNTIF($H$2:$H$269,"&gt;0")) + 1)</f>
        <v/>
      </c>
      <c r="S110" t="str">
        <f>IF(I110=0,"","Q"&amp;INT(4*( RANK(I110, IF($I$2:$I$269&lt;&gt;0, $I$2:$I$269), 0) - 1 ) / COUNTIF($I$2:$I$269,"&gt;0")) + 1)</f>
        <v/>
      </c>
      <c r="T110" t="str">
        <f>IF(J110=0,"","Q"&amp;INT(4*( RANK(J110, IF($J$2:$J$269&lt;&gt;0, $J$2:$J$269), 0) - 1 ) / COUNTIF($J$2:$J$269,"&gt;0")) + 1)</f>
        <v/>
      </c>
      <c r="U110" t="str">
        <f>IF(K110=0,"","Q"&amp;INT(4*( RANK(K110, IF($K$2:$K$269&lt;&gt;0, $K$2:$K$269), 0) - 1 ) / COUNTIF($K$2:$K$269,"&gt;0")) + 1)</f>
        <v/>
      </c>
    </row>
    <row r="111" spans="1:21" x14ac:dyDescent="0.2">
      <c r="A111" s="8" t="s">
        <v>180</v>
      </c>
      <c r="B111" s="2">
        <v>0</v>
      </c>
      <c r="C111" s="2">
        <v>0</v>
      </c>
      <c r="D111" s="2">
        <v>0</v>
      </c>
      <c r="E111" s="2">
        <v>0.03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t="str">
        <f>IF(B111=0,"","Q"&amp;INT(4*( RANK(B111, IF($B$2:$B$269&lt;&gt;0, $B$2:$B$269), 0) - 1 ) / COUNTIF($B$2:$B$269,"&gt;0")) + 1)</f>
        <v/>
      </c>
      <c r="M111" t="str">
        <f>IF(C111=0,"","Q"&amp;INT(4*( RANK(C111, IF($C$2:$C$269&lt;&gt;0, $C$2:$C$269), 0) - 1 ) / COUNTIF($C$2:$C$269,"&gt;0")) + 1)</f>
        <v/>
      </c>
      <c r="N111" t="str">
        <f>IF(D111=0,"","Q"&amp;INT(4*( RANK(D111, IF($D$2:$D$269&lt;&gt;0, $D$2:$D$269), 0) - 1 ) / COUNTIF($D$2:$D$269,"&gt;0")) + 1)</f>
        <v/>
      </c>
      <c r="O111" t="str">
        <f>IF(E111=0,"","Q"&amp;INT(4*( RANK(E111, IF($E$2:$E$269&lt;&gt;0, $E$2:$E$269), 0) - 1 ) / COUNTIF($E$2:$E$269,"&gt;0")) + 1)</f>
        <v>Q1</v>
      </c>
      <c r="P111" t="str">
        <f>IF(F111=0,"","Q"&amp;INT(4*( RANK(F111, IF($F$2:$F$269&lt;&gt;0, $F$2:$F$269), 0) - 1 ) / COUNTIF($F$2:$F$269,"&gt;0")) + 1)</f>
        <v/>
      </c>
      <c r="Q111" t="str">
        <f>IF(G111=0,"","Q"&amp;INT(4*( RANK(G111, IF($G$2:$G$269&lt;&gt;0, $G$2:$G$269), 0) - 1 ) / COUNTIF($G$2:$G$269,"&gt;0")) + 1)</f>
        <v/>
      </c>
      <c r="R111" t="str">
        <f>IF(H111=0,"","Q"&amp;INT(4*( RANK(H111, IF($H$2:$H$269&lt;&gt;0, $H$2:$H$269), 0) - 1 ) / COUNTIF($H$2:$H$269,"&gt;0")) + 1)</f>
        <v/>
      </c>
      <c r="S111" t="str">
        <f>IF(I111=0,"","Q"&amp;INT(4*( RANK(I111, IF($I$2:$I$269&lt;&gt;0, $I$2:$I$269), 0) - 1 ) / COUNTIF($I$2:$I$269,"&gt;0")) + 1)</f>
        <v/>
      </c>
      <c r="T111" t="str">
        <f>IF(J111=0,"","Q"&amp;INT(4*( RANK(J111, IF($J$2:$J$269&lt;&gt;0, $J$2:$J$269), 0) - 1 ) / COUNTIF($J$2:$J$269,"&gt;0")) + 1)</f>
        <v/>
      </c>
      <c r="U111" t="str">
        <f>IF(K111=0,"","Q"&amp;INT(4*( RANK(K111, IF($K$2:$K$269&lt;&gt;0, $K$2:$K$269), 0) - 1 ) / COUNTIF($K$2:$K$269,"&gt;0")) + 1)</f>
        <v/>
      </c>
    </row>
    <row r="112" spans="1:21" x14ac:dyDescent="0.2">
      <c r="A112" t="s">
        <v>181</v>
      </c>
      <c r="B112" s="2">
        <v>0</v>
      </c>
      <c r="C112" s="2">
        <v>0</v>
      </c>
      <c r="D112" s="2">
        <v>0</v>
      </c>
      <c r="E112" s="2">
        <v>4.2016806722688996E-3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t="str">
        <f>IF(B112=0,"","Q"&amp;INT(4*( RANK(B112, IF($B$2:$B$269&lt;&gt;0, $B$2:$B$269), 0) - 1 ) / COUNTIF($B$2:$B$269,"&gt;0")) + 1)</f>
        <v/>
      </c>
      <c r="M112" t="str">
        <f>IF(C112=0,"","Q"&amp;INT(4*( RANK(C112, IF($C$2:$C$269&lt;&gt;0, $C$2:$C$269), 0) - 1 ) / COUNTIF($C$2:$C$269,"&gt;0")) + 1)</f>
        <v/>
      </c>
      <c r="N112" t="str">
        <f>IF(D112=0,"","Q"&amp;INT(4*( RANK(D112, IF($D$2:$D$269&lt;&gt;0, $D$2:$D$269), 0) - 1 ) / COUNTIF($D$2:$D$269,"&gt;0")) + 1)</f>
        <v/>
      </c>
      <c r="O112" t="str">
        <f>IF(E112=0,"","Q"&amp;INT(4*( RANK(E112, IF($E$2:$E$269&lt;&gt;0, $E$2:$E$269), 0) - 1 ) / COUNTIF($E$2:$E$269,"&gt;0")) + 1)</f>
        <v>Q4</v>
      </c>
      <c r="P112" t="str">
        <f>IF(F112=0,"","Q"&amp;INT(4*( RANK(F112, IF($F$2:$F$269&lt;&gt;0, $F$2:$F$269), 0) - 1 ) / COUNTIF($F$2:$F$269,"&gt;0")) + 1)</f>
        <v/>
      </c>
      <c r="Q112" t="str">
        <f>IF(G112=0,"","Q"&amp;INT(4*( RANK(G112, IF($G$2:$G$269&lt;&gt;0, $G$2:$G$269), 0) - 1 ) / COUNTIF($G$2:$G$269,"&gt;0")) + 1)</f>
        <v/>
      </c>
      <c r="R112" t="str">
        <f>IF(H112=0,"","Q"&amp;INT(4*( RANK(H112, IF($H$2:$H$269&lt;&gt;0, $H$2:$H$269), 0) - 1 ) / COUNTIF($H$2:$H$269,"&gt;0")) + 1)</f>
        <v/>
      </c>
      <c r="S112" t="str">
        <f>IF(I112=0,"","Q"&amp;INT(4*( RANK(I112, IF($I$2:$I$269&lt;&gt;0, $I$2:$I$269), 0) - 1 ) / COUNTIF($I$2:$I$269,"&gt;0")) + 1)</f>
        <v/>
      </c>
      <c r="T112" t="str">
        <f>IF(J112=0,"","Q"&amp;INT(4*( RANK(J112, IF($J$2:$J$269&lt;&gt;0, $J$2:$J$269), 0) - 1 ) / COUNTIF($J$2:$J$269,"&gt;0")) + 1)</f>
        <v/>
      </c>
      <c r="U112" t="str">
        <f>IF(K112=0,"","Q"&amp;INT(4*( RANK(K112, IF($K$2:$K$269&lt;&gt;0, $K$2:$K$269), 0) - 1 ) / COUNTIF($K$2:$K$269,"&gt;0")) + 1)</f>
        <v/>
      </c>
    </row>
    <row r="113" spans="1:21" x14ac:dyDescent="0.2">
      <c r="A113" t="s">
        <v>182</v>
      </c>
      <c r="B113" s="2">
        <v>0</v>
      </c>
      <c r="C113" s="2">
        <v>0</v>
      </c>
      <c r="D113" s="2">
        <v>0</v>
      </c>
      <c r="E113" s="2">
        <v>8.4033613445378096E-3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t="str">
        <f>IF(B113=0,"","Q"&amp;INT(4*( RANK(B113, IF($B$2:$B$269&lt;&gt;0, $B$2:$B$269), 0) - 1 ) / COUNTIF($B$2:$B$269,"&gt;0")) + 1)</f>
        <v/>
      </c>
      <c r="M113" t="str">
        <f>IF(C113=0,"","Q"&amp;INT(4*( RANK(C113, IF($C$2:$C$269&lt;&gt;0, $C$2:$C$269), 0) - 1 ) / COUNTIF($C$2:$C$269,"&gt;0")) + 1)</f>
        <v/>
      </c>
      <c r="N113" t="str">
        <f>IF(D113=0,"","Q"&amp;INT(4*( RANK(D113, IF($D$2:$D$269&lt;&gt;0, $D$2:$D$269), 0) - 1 ) / COUNTIF($D$2:$D$269,"&gt;0")) + 1)</f>
        <v/>
      </c>
      <c r="O113" t="str">
        <f>IF(E113=0,"","Q"&amp;INT(4*( RANK(E113, IF($E$2:$E$269&lt;&gt;0, $E$2:$E$269), 0) - 1 ) / COUNTIF($E$2:$E$269,"&gt;0")) + 1)</f>
        <v>Q3</v>
      </c>
      <c r="P113" t="str">
        <f>IF(F113=0,"","Q"&amp;INT(4*( RANK(F113, IF($F$2:$F$269&lt;&gt;0, $F$2:$F$269), 0) - 1 ) / COUNTIF($F$2:$F$269,"&gt;0")) + 1)</f>
        <v/>
      </c>
      <c r="Q113" t="str">
        <f>IF(G113=0,"","Q"&amp;INT(4*( RANK(G113, IF($G$2:$G$269&lt;&gt;0, $G$2:$G$269), 0) - 1 ) / COUNTIF($G$2:$G$269,"&gt;0")) + 1)</f>
        <v/>
      </c>
      <c r="R113" t="str">
        <f>IF(H113=0,"","Q"&amp;INT(4*( RANK(H113, IF($H$2:$H$269&lt;&gt;0, $H$2:$H$269), 0) - 1 ) / COUNTIF($H$2:$H$269,"&gt;0")) + 1)</f>
        <v/>
      </c>
      <c r="S113" t="str">
        <f>IF(I113=0,"","Q"&amp;INT(4*( RANK(I113, IF($I$2:$I$269&lt;&gt;0, $I$2:$I$269), 0) - 1 ) / COUNTIF($I$2:$I$269,"&gt;0")) + 1)</f>
        <v/>
      </c>
      <c r="T113" t="str">
        <f>IF(J113=0,"","Q"&amp;INT(4*( RANK(J113, IF($J$2:$J$269&lt;&gt;0, $J$2:$J$269), 0) - 1 ) / COUNTIF($J$2:$J$269,"&gt;0")) + 1)</f>
        <v/>
      </c>
      <c r="U113" t="str">
        <f>IF(K113=0,"","Q"&amp;INT(4*( RANK(K113, IF($K$2:$K$269&lt;&gt;0, $K$2:$K$269), 0) - 1 ) / COUNTIF($K$2:$K$269,"&gt;0")) + 1)</f>
        <v/>
      </c>
    </row>
    <row r="114" spans="1:21" x14ac:dyDescent="0.2">
      <c r="A114" t="s">
        <v>976</v>
      </c>
      <c r="B114" s="2">
        <v>0</v>
      </c>
      <c r="C114" s="2">
        <v>0</v>
      </c>
      <c r="D114" s="2">
        <v>0</v>
      </c>
      <c r="E114" s="2">
        <v>1.6806722689075598E-2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t="str">
        <f>IF(B114=0,"","Q"&amp;INT(4*( RANK(B114, IF($B$2:$B$269&lt;&gt;0, $B$2:$B$269), 0) - 1 ) / COUNTIF($B$2:$B$269,"&gt;0")) + 1)</f>
        <v/>
      </c>
      <c r="M114" t="str">
        <f>IF(C114=0,"","Q"&amp;INT(4*( RANK(C114, IF($C$2:$C$269&lt;&gt;0, $C$2:$C$269), 0) - 1 ) / COUNTIF($C$2:$C$269,"&gt;0")) + 1)</f>
        <v/>
      </c>
      <c r="N114" t="str">
        <f>IF(D114=0,"","Q"&amp;INT(4*( RANK(D114, IF($D$2:$D$269&lt;&gt;0, $D$2:$D$269), 0) - 1 ) / COUNTIF($D$2:$D$269,"&gt;0")) + 1)</f>
        <v/>
      </c>
      <c r="O114" t="str">
        <f>IF(E114=0,"","Q"&amp;INT(4*( RANK(E114, IF($E$2:$E$269&lt;&gt;0, $E$2:$E$269), 0) - 1 ) / COUNTIF($E$2:$E$269,"&gt;0")) + 1)</f>
        <v>Q2</v>
      </c>
      <c r="P114" t="str">
        <f>IF(F114=0,"","Q"&amp;INT(4*( RANK(F114, IF($F$2:$F$269&lt;&gt;0, $F$2:$F$269), 0) - 1 ) / COUNTIF($F$2:$F$269,"&gt;0")) + 1)</f>
        <v/>
      </c>
      <c r="Q114" t="str">
        <f>IF(G114=0,"","Q"&amp;INT(4*( RANK(G114, IF($G$2:$G$269&lt;&gt;0, $G$2:$G$269), 0) - 1 ) / COUNTIF($G$2:$G$269,"&gt;0")) + 1)</f>
        <v/>
      </c>
      <c r="R114" t="str">
        <f>IF(H114=0,"","Q"&amp;INT(4*( RANK(H114, IF($H$2:$H$269&lt;&gt;0, $H$2:$H$269), 0) - 1 ) / COUNTIF($H$2:$H$269,"&gt;0")) + 1)</f>
        <v/>
      </c>
      <c r="S114" t="str">
        <f>IF(I114=0,"","Q"&amp;INT(4*( RANK(I114, IF($I$2:$I$269&lt;&gt;0, $I$2:$I$269), 0) - 1 ) / COUNTIF($I$2:$I$269,"&gt;0")) + 1)</f>
        <v/>
      </c>
      <c r="T114" t="str">
        <f>IF(J114=0,"","Q"&amp;INT(4*( RANK(J114, IF($J$2:$J$269&lt;&gt;0, $J$2:$J$269), 0) - 1 ) / COUNTIF($J$2:$J$269,"&gt;0")) + 1)</f>
        <v/>
      </c>
      <c r="U114" t="str">
        <f>IF(K114=0,"","Q"&amp;INT(4*( RANK(K114, IF($K$2:$K$269&lt;&gt;0, $K$2:$K$269), 0) - 1 ) / COUNTIF($K$2:$K$269,"&gt;0")) + 1)</f>
        <v/>
      </c>
    </row>
    <row r="115" spans="1:21" x14ac:dyDescent="0.2">
      <c r="A115" s="8" t="s">
        <v>188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0.44444444444444398</v>
      </c>
      <c r="I115" s="2">
        <v>0</v>
      </c>
      <c r="J115" s="2">
        <v>0.16300000000000001</v>
      </c>
      <c r="K115" s="2">
        <v>0</v>
      </c>
      <c r="L115" t="str">
        <f>IF(B115=0,"","Q"&amp;INT(4*( RANK(B115, IF($B$2:$B$269&lt;&gt;0, $B$2:$B$269), 0) - 1 ) / COUNTIF($B$2:$B$269,"&gt;0")) + 1)</f>
        <v/>
      </c>
      <c r="M115" t="str">
        <f>IF(C115=0,"","Q"&amp;INT(4*( RANK(C115, IF($C$2:$C$269&lt;&gt;0, $C$2:$C$269), 0) - 1 ) / COUNTIF($C$2:$C$269,"&gt;0")) + 1)</f>
        <v/>
      </c>
      <c r="N115" t="str">
        <f>IF(D115=0,"","Q"&amp;INT(4*( RANK(D115, IF($D$2:$D$269&lt;&gt;0, $D$2:$D$269), 0) - 1 ) / COUNTIF($D$2:$D$269,"&gt;0")) + 1)</f>
        <v/>
      </c>
      <c r="O115" t="str">
        <f>IF(E115=0,"","Q"&amp;INT(4*( RANK(E115, IF($E$2:$E$269&lt;&gt;0, $E$2:$E$269), 0) - 1 ) / COUNTIF($E$2:$E$269,"&gt;0")) + 1)</f>
        <v/>
      </c>
      <c r="P115" t="str">
        <f>IF(F115=0,"","Q"&amp;INT(4*( RANK(F115, IF($F$2:$F$269&lt;&gt;0, $F$2:$F$269), 0) - 1 ) / COUNTIF($F$2:$F$269,"&gt;0")) + 1)</f>
        <v/>
      </c>
      <c r="Q115" t="str">
        <f>IF(G115=0,"","Q"&amp;INT(4*( RANK(G115, IF($G$2:$G$269&lt;&gt;0, $G$2:$G$269), 0) - 1 ) / COUNTIF($G$2:$G$269,"&gt;0")) + 1)</f>
        <v/>
      </c>
      <c r="R115" t="str">
        <f>IF(H115=0,"","Q"&amp;INT(4*( RANK(H115, IF($H$2:$H$269&lt;&gt;0, $H$2:$H$269), 0) - 1 ) / COUNTIF($H$2:$H$269,"&gt;0")) + 1)</f>
        <v>Q1</v>
      </c>
      <c r="S115" t="str">
        <f>IF(I115=0,"","Q"&amp;INT(4*( RANK(I115, IF($I$2:$I$269&lt;&gt;0, $I$2:$I$269), 0) - 1 ) / COUNTIF($I$2:$I$269,"&gt;0")) + 1)</f>
        <v/>
      </c>
      <c r="T115" t="str">
        <f>IF(J115=0,"","Q"&amp;INT(4*( RANK(J115, IF($J$2:$J$269&lt;&gt;0, $J$2:$J$269), 0) - 1 ) / COUNTIF($J$2:$J$269,"&gt;0")) + 1)</f>
        <v>Q2</v>
      </c>
      <c r="U115" t="str">
        <f>IF(K115=0,"","Q"&amp;INT(4*( RANK(K115, IF($K$2:$K$269&lt;&gt;0, $K$2:$K$269), 0) - 1 ) / COUNTIF($K$2:$K$269,"&gt;0")) + 1)</f>
        <v/>
      </c>
    </row>
    <row r="116" spans="1:21" x14ac:dyDescent="0.2">
      <c r="A116" t="s">
        <v>977</v>
      </c>
      <c r="B116" s="2">
        <v>0</v>
      </c>
      <c r="C116" s="2">
        <v>0</v>
      </c>
      <c r="D116" s="2">
        <v>0</v>
      </c>
      <c r="E116" s="2">
        <v>0</v>
      </c>
      <c r="F116" s="2">
        <v>0.115384615384615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t="str">
        <f>IF(B116=0,"","Q"&amp;INT(4*( RANK(B116, IF($B$2:$B$269&lt;&gt;0, $B$2:$B$269), 0) - 1 ) / COUNTIF($B$2:$B$269,"&gt;0")) + 1)</f>
        <v/>
      </c>
      <c r="M116" t="str">
        <f>IF(C116=0,"","Q"&amp;INT(4*( RANK(C116, IF($C$2:$C$269&lt;&gt;0, $C$2:$C$269), 0) - 1 ) / COUNTIF($C$2:$C$269,"&gt;0")) + 1)</f>
        <v/>
      </c>
      <c r="N116" t="str">
        <f>IF(D116=0,"","Q"&amp;INT(4*( RANK(D116, IF($D$2:$D$269&lt;&gt;0, $D$2:$D$269), 0) - 1 ) / COUNTIF($D$2:$D$269,"&gt;0")) + 1)</f>
        <v/>
      </c>
      <c r="O116" t="str">
        <f>IF(E116=0,"","Q"&amp;INT(4*( RANK(E116, IF($E$2:$E$269&lt;&gt;0, $E$2:$E$269), 0) - 1 ) / COUNTIF($E$2:$E$269,"&gt;0")) + 1)</f>
        <v/>
      </c>
      <c r="P116" t="str">
        <f>IF(F116=0,"","Q"&amp;INT(4*( RANK(F116, IF($F$2:$F$269&lt;&gt;0, $F$2:$F$269), 0) - 1 ) / COUNTIF($F$2:$F$269,"&gt;0")) + 1)</f>
        <v>Q2</v>
      </c>
      <c r="Q116" t="str">
        <f>IF(G116=0,"","Q"&amp;INT(4*( RANK(G116, IF($G$2:$G$269&lt;&gt;0, $G$2:$G$269), 0) - 1 ) / COUNTIF($G$2:$G$269,"&gt;0")) + 1)</f>
        <v/>
      </c>
      <c r="R116" t="str">
        <f>IF(H116=0,"","Q"&amp;INT(4*( RANK(H116, IF($H$2:$H$269&lt;&gt;0, $H$2:$H$269), 0) - 1 ) / COUNTIF($H$2:$H$269,"&gt;0")) + 1)</f>
        <v/>
      </c>
      <c r="S116" t="str">
        <f>IF(I116=0,"","Q"&amp;INT(4*( RANK(I116, IF($I$2:$I$269&lt;&gt;0, $I$2:$I$269), 0) - 1 ) / COUNTIF($I$2:$I$269,"&gt;0")) + 1)</f>
        <v/>
      </c>
      <c r="T116" t="str">
        <f>IF(J116=0,"","Q"&amp;INT(4*( RANK(J116, IF($J$2:$J$269&lt;&gt;0, $J$2:$J$269), 0) - 1 ) / COUNTIF($J$2:$J$269,"&gt;0")) + 1)</f>
        <v/>
      </c>
      <c r="U116" t="str">
        <f>IF(K116=0,"","Q"&amp;INT(4*( RANK(K116, IF($K$2:$K$269&lt;&gt;0, $K$2:$K$269), 0) - 1 ) / COUNTIF($K$2:$K$269,"&gt;0")) + 1)</f>
        <v/>
      </c>
    </row>
    <row r="117" spans="1:21" x14ac:dyDescent="0.2">
      <c r="A117" t="s">
        <v>978</v>
      </c>
      <c r="B117" s="2">
        <v>0</v>
      </c>
      <c r="C117" s="2">
        <v>0</v>
      </c>
      <c r="D117" s="2">
        <v>0</v>
      </c>
      <c r="E117" s="2">
        <v>1.6806722689075598E-2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t="str">
        <f>IF(B117=0,"","Q"&amp;INT(4*( RANK(B117, IF($B$2:$B$269&lt;&gt;0, $B$2:$B$269), 0) - 1 ) / COUNTIF($B$2:$B$269,"&gt;0")) + 1)</f>
        <v/>
      </c>
      <c r="M117" t="str">
        <f>IF(C117=0,"","Q"&amp;INT(4*( RANK(C117, IF($C$2:$C$269&lt;&gt;0, $C$2:$C$269), 0) - 1 ) / COUNTIF($C$2:$C$269,"&gt;0")) + 1)</f>
        <v/>
      </c>
      <c r="N117" t="str">
        <f>IF(D117=0,"","Q"&amp;INT(4*( RANK(D117, IF($D$2:$D$269&lt;&gt;0, $D$2:$D$269), 0) - 1 ) / COUNTIF($D$2:$D$269,"&gt;0")) + 1)</f>
        <v/>
      </c>
      <c r="O117" t="str">
        <f>IF(E117=0,"","Q"&amp;INT(4*( RANK(E117, IF($E$2:$E$269&lt;&gt;0, $E$2:$E$269), 0) - 1 ) / COUNTIF($E$2:$E$269,"&gt;0")) + 1)</f>
        <v>Q2</v>
      </c>
      <c r="P117" t="str">
        <f>IF(F117=0,"","Q"&amp;INT(4*( RANK(F117, IF($F$2:$F$269&lt;&gt;0, $F$2:$F$269), 0) - 1 ) / COUNTIF($F$2:$F$269,"&gt;0")) + 1)</f>
        <v/>
      </c>
      <c r="Q117" t="str">
        <f>IF(G117=0,"","Q"&amp;INT(4*( RANK(G117, IF($G$2:$G$269&lt;&gt;0, $G$2:$G$269), 0) - 1 ) / COUNTIF($G$2:$G$269,"&gt;0")) + 1)</f>
        <v/>
      </c>
      <c r="R117" t="str">
        <f>IF(H117=0,"","Q"&amp;INT(4*( RANK(H117, IF($H$2:$H$269&lt;&gt;0, $H$2:$H$269), 0) - 1 ) / COUNTIF($H$2:$H$269,"&gt;0")) + 1)</f>
        <v/>
      </c>
      <c r="S117" t="str">
        <f>IF(I117=0,"","Q"&amp;INT(4*( RANK(I117, IF($I$2:$I$269&lt;&gt;0, $I$2:$I$269), 0) - 1 ) / COUNTIF($I$2:$I$269,"&gt;0")) + 1)</f>
        <v/>
      </c>
      <c r="T117" t="str">
        <f>IF(J117=0,"","Q"&amp;INT(4*( RANK(J117, IF($J$2:$J$269&lt;&gt;0, $J$2:$J$269), 0) - 1 ) / COUNTIF($J$2:$J$269,"&gt;0")) + 1)</f>
        <v/>
      </c>
      <c r="U117" t="str">
        <f>IF(K117=0,"","Q"&amp;INT(4*( RANK(K117, IF($K$2:$K$269&lt;&gt;0, $K$2:$K$269), 0) - 1 ) / COUNTIF($K$2:$K$269,"&gt;0")) + 1)</f>
        <v/>
      </c>
    </row>
    <row r="118" spans="1:21" x14ac:dyDescent="0.2">
      <c r="A118" t="s">
        <v>1052</v>
      </c>
      <c r="B118" s="2">
        <v>0</v>
      </c>
      <c r="C118" s="2">
        <v>0</v>
      </c>
      <c r="D118" s="2">
        <v>0</v>
      </c>
      <c r="E118" s="2">
        <v>1.26050420168067E-2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t="str">
        <f>IF(B118=0,"","Q"&amp;INT(4*( RANK(B118, IF($B$2:$B$269&lt;&gt;0, $B$2:$B$269), 0) - 1 ) / COUNTIF($B$2:$B$269,"&gt;0")) + 1)</f>
        <v/>
      </c>
      <c r="M118" t="str">
        <f>IF(C118=0,"","Q"&amp;INT(4*( RANK(C118, IF($C$2:$C$269&lt;&gt;0, $C$2:$C$269), 0) - 1 ) / COUNTIF($C$2:$C$269,"&gt;0")) + 1)</f>
        <v/>
      </c>
      <c r="N118" t="str">
        <f>IF(D118=0,"","Q"&amp;INT(4*( RANK(D118, IF($D$2:$D$269&lt;&gt;0, $D$2:$D$269), 0) - 1 ) / COUNTIF($D$2:$D$269,"&gt;0")) + 1)</f>
        <v/>
      </c>
      <c r="O118" t="str">
        <f>IF(E118=0,"","Q"&amp;INT(4*( RANK(E118, IF($E$2:$E$269&lt;&gt;0, $E$2:$E$269), 0) - 1 ) / COUNTIF($E$2:$E$269,"&gt;0")) + 1)</f>
        <v>Q2</v>
      </c>
      <c r="P118" t="str">
        <f>IF(F118=0,"","Q"&amp;INT(4*( RANK(F118, IF($F$2:$F$269&lt;&gt;0, $F$2:$F$269), 0) - 1 ) / COUNTIF($F$2:$F$269,"&gt;0")) + 1)</f>
        <v/>
      </c>
      <c r="Q118" t="str">
        <f>IF(G118=0,"","Q"&amp;INT(4*( RANK(G118, IF($G$2:$G$269&lt;&gt;0, $G$2:$G$269), 0) - 1 ) / COUNTIF($G$2:$G$269,"&gt;0")) + 1)</f>
        <v/>
      </c>
      <c r="R118" t="str">
        <f>IF(H118=0,"","Q"&amp;INT(4*( RANK(H118, IF($H$2:$H$269&lt;&gt;0, $H$2:$H$269), 0) - 1 ) / COUNTIF($H$2:$H$269,"&gt;0")) + 1)</f>
        <v/>
      </c>
      <c r="S118" t="str">
        <f>IF(I118=0,"","Q"&amp;INT(4*( RANK(I118, IF($I$2:$I$269&lt;&gt;0, $I$2:$I$269), 0) - 1 ) / COUNTIF($I$2:$I$269,"&gt;0")) + 1)</f>
        <v/>
      </c>
      <c r="T118" t="str">
        <f>IF(J118=0,"","Q"&amp;INT(4*( RANK(J118, IF($J$2:$J$269&lt;&gt;0, $J$2:$J$269), 0) - 1 ) / COUNTIF($J$2:$J$269,"&gt;0")) + 1)</f>
        <v/>
      </c>
      <c r="U118" t="str">
        <f>IF(K118=0,"","Q"&amp;INT(4*( RANK(K118, IF($K$2:$K$269&lt;&gt;0, $K$2:$K$269), 0) - 1 ) / COUNTIF($K$2:$K$269,"&gt;0")) + 1)</f>
        <v/>
      </c>
    </row>
    <row r="119" spans="1:21" x14ac:dyDescent="0.2">
      <c r="A119" s="8" t="s">
        <v>190</v>
      </c>
      <c r="B119" s="2">
        <v>0</v>
      </c>
      <c r="C119" s="2">
        <v>0</v>
      </c>
      <c r="D119" s="2">
        <v>0</v>
      </c>
      <c r="E119" s="2">
        <v>1.7000000000000001E-2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t="str">
        <f>IF(B119=0,"","Q"&amp;INT(4*( RANK(B119, IF($B$2:$B$269&lt;&gt;0, $B$2:$B$269), 0) - 1 ) / COUNTIF($B$2:$B$269,"&gt;0")) + 1)</f>
        <v/>
      </c>
      <c r="M119" t="str">
        <f>IF(C119=0,"","Q"&amp;INT(4*( RANK(C119, IF($C$2:$C$269&lt;&gt;0, $C$2:$C$269), 0) - 1 ) / COUNTIF($C$2:$C$269,"&gt;0")) + 1)</f>
        <v/>
      </c>
      <c r="N119" t="str">
        <f>IF(D119=0,"","Q"&amp;INT(4*( RANK(D119, IF($D$2:$D$269&lt;&gt;0, $D$2:$D$269), 0) - 1 ) / COUNTIF($D$2:$D$269,"&gt;0")) + 1)</f>
        <v/>
      </c>
      <c r="O119" t="str">
        <f>IF(E119=0,"","Q"&amp;INT(4*( RANK(E119, IF($E$2:$E$269&lt;&gt;0, $E$2:$E$269), 0) - 1 ) / COUNTIF($E$2:$E$269,"&gt;0")) + 1)</f>
        <v>Q2</v>
      </c>
      <c r="P119" t="str">
        <f>IF(F119=0,"","Q"&amp;INT(4*( RANK(F119, IF($F$2:$F$269&lt;&gt;0, $F$2:$F$269), 0) - 1 ) / COUNTIF($F$2:$F$269,"&gt;0")) + 1)</f>
        <v/>
      </c>
      <c r="Q119" t="str">
        <f>IF(G119=0,"","Q"&amp;INT(4*( RANK(G119, IF($G$2:$G$269&lt;&gt;0, $G$2:$G$269), 0) - 1 ) / COUNTIF($G$2:$G$269,"&gt;0")) + 1)</f>
        <v/>
      </c>
      <c r="R119" t="str">
        <f>IF(H119=0,"","Q"&amp;INT(4*( RANK(H119, IF($H$2:$H$269&lt;&gt;0, $H$2:$H$269), 0) - 1 ) / COUNTIF($H$2:$H$269,"&gt;0")) + 1)</f>
        <v/>
      </c>
      <c r="S119" t="str">
        <f>IF(I119=0,"","Q"&amp;INT(4*( RANK(I119, IF($I$2:$I$269&lt;&gt;0, $I$2:$I$269), 0) - 1 ) / COUNTIF($I$2:$I$269,"&gt;0")) + 1)</f>
        <v/>
      </c>
      <c r="T119" t="str">
        <f>IF(J119=0,"","Q"&amp;INT(4*( RANK(J119, IF($J$2:$J$269&lt;&gt;0, $J$2:$J$269), 0) - 1 ) / COUNTIF($J$2:$J$269,"&gt;0")) + 1)</f>
        <v/>
      </c>
      <c r="U119" t="str">
        <f>IF(K119=0,"","Q"&amp;INT(4*( RANK(K119, IF($K$2:$K$269&lt;&gt;0, $K$2:$K$269), 0) - 1 ) / COUNTIF($K$2:$K$269,"&gt;0")) + 1)</f>
        <v/>
      </c>
    </row>
    <row r="120" spans="1:21" x14ac:dyDescent="0.2">
      <c r="A120" t="s">
        <v>979</v>
      </c>
      <c r="B120" s="2">
        <v>0.6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t="str">
        <f>IF(B120=0,"","Q"&amp;INT(4*( RANK(B120, IF($B$2:$B$269&lt;&gt;0, $B$2:$B$269), 0) - 1 ) / COUNTIF($B$2:$B$269,"&gt;0")) + 1)</f>
        <v>Q2</v>
      </c>
      <c r="M120" t="str">
        <f>IF(C120=0,"","Q"&amp;INT(4*( RANK(C120, IF($C$2:$C$269&lt;&gt;0, $C$2:$C$269), 0) - 1 ) / COUNTIF($C$2:$C$269,"&gt;0")) + 1)</f>
        <v/>
      </c>
      <c r="N120" t="str">
        <f>IF(D120=0,"","Q"&amp;INT(4*( RANK(D120, IF($D$2:$D$269&lt;&gt;0, $D$2:$D$269), 0) - 1 ) / COUNTIF($D$2:$D$269,"&gt;0")) + 1)</f>
        <v/>
      </c>
      <c r="O120" t="str">
        <f>IF(E120=0,"","Q"&amp;INT(4*( RANK(E120, IF($E$2:$E$269&lt;&gt;0, $E$2:$E$269), 0) - 1 ) / COUNTIF($E$2:$E$269,"&gt;0")) + 1)</f>
        <v/>
      </c>
      <c r="P120" t="str">
        <f>IF(F120=0,"","Q"&amp;INT(4*( RANK(F120, IF($F$2:$F$269&lt;&gt;0, $F$2:$F$269), 0) - 1 ) / COUNTIF($F$2:$F$269,"&gt;0")) + 1)</f>
        <v/>
      </c>
      <c r="Q120" t="str">
        <f>IF(G120=0,"","Q"&amp;INT(4*( RANK(G120, IF($G$2:$G$269&lt;&gt;0, $G$2:$G$269), 0) - 1 ) / COUNTIF($G$2:$G$269,"&gt;0")) + 1)</f>
        <v/>
      </c>
      <c r="R120" t="str">
        <f>IF(H120=0,"","Q"&amp;INT(4*( RANK(H120, IF($H$2:$H$269&lt;&gt;0, $H$2:$H$269), 0) - 1 ) / COUNTIF($H$2:$H$269,"&gt;0")) + 1)</f>
        <v/>
      </c>
      <c r="S120" t="str">
        <f>IF(I120=0,"","Q"&amp;INT(4*( RANK(I120, IF($I$2:$I$269&lt;&gt;0, $I$2:$I$269), 0) - 1 ) / COUNTIF($I$2:$I$269,"&gt;0")) + 1)</f>
        <v/>
      </c>
      <c r="T120" t="str">
        <f>IF(J120=0,"","Q"&amp;INT(4*( RANK(J120, IF($J$2:$J$269&lt;&gt;0, $J$2:$J$269), 0) - 1 ) / COUNTIF($J$2:$J$269,"&gt;0")) + 1)</f>
        <v/>
      </c>
      <c r="U120" t="str">
        <f>IF(K120=0,"","Q"&amp;INT(4*( RANK(K120, IF($K$2:$K$269&lt;&gt;0, $K$2:$K$269), 0) - 1 ) / COUNTIF($K$2:$K$269,"&gt;0")) + 1)</f>
        <v/>
      </c>
    </row>
    <row r="121" spans="1:21" x14ac:dyDescent="0.2">
      <c r="A121" t="s">
        <v>980</v>
      </c>
      <c r="B121" s="2">
        <v>0</v>
      </c>
      <c r="C121" s="2">
        <v>0</v>
      </c>
      <c r="D121" s="2">
        <v>0</v>
      </c>
      <c r="E121" s="2">
        <v>4.2016806722688996E-3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t="str">
        <f>IF(B121=0,"","Q"&amp;INT(4*( RANK(B121, IF($B$2:$B$269&lt;&gt;0, $B$2:$B$269), 0) - 1 ) / COUNTIF($B$2:$B$269,"&gt;0")) + 1)</f>
        <v/>
      </c>
      <c r="M121" t="str">
        <f>IF(C121=0,"","Q"&amp;INT(4*( RANK(C121, IF($C$2:$C$269&lt;&gt;0, $C$2:$C$269), 0) - 1 ) / COUNTIF($C$2:$C$269,"&gt;0")) + 1)</f>
        <v/>
      </c>
      <c r="N121" t="str">
        <f>IF(D121=0,"","Q"&amp;INT(4*( RANK(D121, IF($D$2:$D$269&lt;&gt;0, $D$2:$D$269), 0) - 1 ) / COUNTIF($D$2:$D$269,"&gt;0")) + 1)</f>
        <v/>
      </c>
      <c r="O121" t="str">
        <f>IF(E121=0,"","Q"&amp;INT(4*( RANK(E121, IF($E$2:$E$269&lt;&gt;0, $E$2:$E$269), 0) - 1 ) / COUNTIF($E$2:$E$269,"&gt;0")) + 1)</f>
        <v>Q4</v>
      </c>
      <c r="P121" t="str">
        <f>IF(F121=0,"","Q"&amp;INT(4*( RANK(F121, IF($F$2:$F$269&lt;&gt;0, $F$2:$F$269), 0) - 1 ) / COUNTIF($F$2:$F$269,"&gt;0")) + 1)</f>
        <v/>
      </c>
      <c r="Q121" t="str">
        <f>IF(G121=0,"","Q"&amp;INT(4*( RANK(G121, IF($G$2:$G$269&lt;&gt;0, $G$2:$G$269), 0) - 1 ) / COUNTIF($G$2:$G$269,"&gt;0")) + 1)</f>
        <v/>
      </c>
      <c r="R121" t="str">
        <f>IF(H121=0,"","Q"&amp;INT(4*( RANK(H121, IF($H$2:$H$269&lt;&gt;0, $H$2:$H$269), 0) - 1 ) / COUNTIF($H$2:$H$269,"&gt;0")) + 1)</f>
        <v/>
      </c>
      <c r="S121" t="str">
        <f>IF(I121=0,"","Q"&amp;INT(4*( RANK(I121, IF($I$2:$I$269&lt;&gt;0, $I$2:$I$269), 0) - 1 ) / COUNTIF($I$2:$I$269,"&gt;0")) + 1)</f>
        <v/>
      </c>
      <c r="T121" t="str">
        <f>IF(J121=0,"","Q"&amp;INT(4*( RANK(J121, IF($J$2:$J$269&lt;&gt;0, $J$2:$J$269), 0) - 1 ) / COUNTIF($J$2:$J$269,"&gt;0")) + 1)</f>
        <v/>
      </c>
      <c r="U121" t="str">
        <f>IF(K121=0,"","Q"&amp;INT(4*( RANK(K121, IF($K$2:$K$269&lt;&gt;0, $K$2:$K$269), 0) - 1 ) / COUNTIF($K$2:$K$269,"&gt;0")) + 1)</f>
        <v/>
      </c>
    </row>
    <row r="122" spans="1:21" x14ac:dyDescent="0.2">
      <c r="A122" t="s">
        <v>981</v>
      </c>
      <c r="B122" s="2">
        <v>0</v>
      </c>
      <c r="C122" s="2">
        <v>0</v>
      </c>
      <c r="D122" s="2">
        <v>4.7619047619047603E-2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t="str">
        <f>IF(B122=0,"","Q"&amp;INT(4*( RANK(B122, IF($B$2:$B$269&lt;&gt;0, $B$2:$B$269), 0) - 1 ) / COUNTIF($B$2:$B$269,"&gt;0")) + 1)</f>
        <v/>
      </c>
      <c r="M122" t="str">
        <f>IF(C122=0,"","Q"&amp;INT(4*( RANK(C122, IF($C$2:$C$269&lt;&gt;0, $C$2:$C$269), 0) - 1 ) / COUNTIF($C$2:$C$269,"&gt;0")) + 1)</f>
        <v/>
      </c>
      <c r="N122" t="str">
        <f>IF(D122=0,"","Q"&amp;INT(4*( RANK(D122, IF($D$2:$D$269&lt;&gt;0, $D$2:$D$269), 0) - 1 ) / COUNTIF($D$2:$D$269,"&gt;0")) + 1)</f>
        <v>Q4</v>
      </c>
      <c r="O122" t="str">
        <f>IF(E122=0,"","Q"&amp;INT(4*( RANK(E122, IF($E$2:$E$269&lt;&gt;0, $E$2:$E$269), 0) - 1 ) / COUNTIF($E$2:$E$269,"&gt;0")) + 1)</f>
        <v/>
      </c>
      <c r="P122" t="str">
        <f>IF(F122=0,"","Q"&amp;INT(4*( RANK(F122, IF($F$2:$F$269&lt;&gt;0, $F$2:$F$269), 0) - 1 ) / COUNTIF($F$2:$F$269,"&gt;0")) + 1)</f>
        <v/>
      </c>
      <c r="Q122" t="str">
        <f>IF(G122=0,"","Q"&amp;INT(4*( RANK(G122, IF($G$2:$G$269&lt;&gt;0, $G$2:$G$269), 0) - 1 ) / COUNTIF($G$2:$G$269,"&gt;0")) + 1)</f>
        <v/>
      </c>
      <c r="R122" t="str">
        <f>IF(H122=0,"","Q"&amp;INT(4*( RANK(H122, IF($H$2:$H$269&lt;&gt;0, $H$2:$H$269), 0) - 1 ) / COUNTIF($H$2:$H$269,"&gt;0")) + 1)</f>
        <v/>
      </c>
      <c r="S122" t="str">
        <f>IF(I122=0,"","Q"&amp;INT(4*( RANK(I122, IF($I$2:$I$269&lt;&gt;0, $I$2:$I$269), 0) - 1 ) / COUNTIF($I$2:$I$269,"&gt;0")) + 1)</f>
        <v/>
      </c>
      <c r="T122" t="str">
        <f>IF(J122=0,"","Q"&amp;INT(4*( RANK(J122, IF($J$2:$J$269&lt;&gt;0, $J$2:$J$269), 0) - 1 ) / COUNTIF($J$2:$J$269,"&gt;0")) + 1)</f>
        <v/>
      </c>
      <c r="U122" t="str">
        <f>IF(K122=0,"","Q"&amp;INT(4*( RANK(K122, IF($K$2:$K$269&lt;&gt;0, $K$2:$K$269), 0) - 1 ) / COUNTIF($K$2:$K$269,"&gt;0")) + 1)</f>
        <v/>
      </c>
    </row>
    <row r="123" spans="1:21" x14ac:dyDescent="0.2">
      <c r="A123" s="8" t="s">
        <v>195</v>
      </c>
      <c r="B123" s="2">
        <v>0</v>
      </c>
      <c r="C123" s="2">
        <v>0</v>
      </c>
      <c r="D123" s="2">
        <v>0</v>
      </c>
      <c r="E123" s="2">
        <v>4.2000000000000003E-2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t="str">
        <f>IF(B123=0,"","Q"&amp;INT(4*( RANK(B123, IF($B$2:$B$269&lt;&gt;0, $B$2:$B$269), 0) - 1 ) / COUNTIF($B$2:$B$269,"&gt;0")) + 1)</f>
        <v/>
      </c>
      <c r="M123" t="str">
        <f>IF(C123=0,"","Q"&amp;INT(4*( RANK(C123, IF($C$2:$C$269&lt;&gt;0, $C$2:$C$269), 0) - 1 ) / COUNTIF($C$2:$C$269,"&gt;0")) + 1)</f>
        <v/>
      </c>
      <c r="N123" t="str">
        <f>IF(D123=0,"","Q"&amp;INT(4*( RANK(D123, IF($D$2:$D$269&lt;&gt;0, $D$2:$D$269), 0) - 1 ) / COUNTIF($D$2:$D$269,"&gt;0")) + 1)</f>
        <v/>
      </c>
      <c r="O123" t="str">
        <f>IF(E123=0,"","Q"&amp;INT(4*( RANK(E123, IF($E$2:$E$269&lt;&gt;0, $E$2:$E$269), 0) - 1 ) / COUNTIF($E$2:$E$269,"&gt;0")) + 1)</f>
        <v>Q1</v>
      </c>
      <c r="P123" t="str">
        <f>IF(F123=0,"","Q"&amp;INT(4*( RANK(F123, IF($F$2:$F$269&lt;&gt;0, $F$2:$F$269), 0) - 1 ) / COUNTIF($F$2:$F$269,"&gt;0")) + 1)</f>
        <v/>
      </c>
      <c r="Q123" t="str">
        <f>IF(G123=0,"","Q"&amp;INT(4*( RANK(G123, IF($G$2:$G$269&lt;&gt;0, $G$2:$G$269), 0) - 1 ) / COUNTIF($G$2:$G$269,"&gt;0")) + 1)</f>
        <v/>
      </c>
      <c r="R123" t="str">
        <f>IF(H123=0,"","Q"&amp;INT(4*( RANK(H123, IF($H$2:$H$269&lt;&gt;0, $H$2:$H$269), 0) - 1 ) / COUNTIF($H$2:$H$269,"&gt;0")) + 1)</f>
        <v/>
      </c>
      <c r="S123" t="str">
        <f>IF(I123=0,"","Q"&amp;INT(4*( RANK(I123, IF($I$2:$I$269&lt;&gt;0, $I$2:$I$269), 0) - 1 ) / COUNTIF($I$2:$I$269,"&gt;0")) + 1)</f>
        <v/>
      </c>
      <c r="T123" t="str">
        <f>IF(J123=0,"","Q"&amp;INT(4*( RANK(J123, IF($J$2:$J$269&lt;&gt;0, $J$2:$J$269), 0) - 1 ) / COUNTIF($J$2:$J$269,"&gt;0")) + 1)</f>
        <v/>
      </c>
      <c r="U123" t="str">
        <f>IF(K123=0,"","Q"&amp;INT(4*( RANK(K123, IF($K$2:$K$269&lt;&gt;0, $K$2:$K$269), 0) - 1 ) / COUNTIF($K$2:$K$269,"&gt;0")) + 1)</f>
        <v/>
      </c>
    </row>
    <row r="124" spans="1:21" x14ac:dyDescent="0.2">
      <c r="A124" t="s">
        <v>982</v>
      </c>
      <c r="B124" s="2">
        <v>0</v>
      </c>
      <c r="C124" s="2">
        <v>0</v>
      </c>
      <c r="D124" s="2">
        <v>0</v>
      </c>
      <c r="E124" s="2">
        <v>3.7815126050420103E-2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t="str">
        <f>IF(B124=0,"","Q"&amp;INT(4*( RANK(B124, IF($B$2:$B$269&lt;&gt;0, $B$2:$B$269), 0) - 1 ) / COUNTIF($B$2:$B$269,"&gt;0")) + 1)</f>
        <v/>
      </c>
      <c r="M124" t="str">
        <f>IF(C124=0,"","Q"&amp;INT(4*( RANK(C124, IF($C$2:$C$269&lt;&gt;0, $C$2:$C$269), 0) - 1 ) / COUNTIF($C$2:$C$269,"&gt;0")) + 1)</f>
        <v/>
      </c>
      <c r="N124" t="str">
        <f>IF(D124=0,"","Q"&amp;INT(4*( RANK(D124, IF($D$2:$D$269&lt;&gt;0, $D$2:$D$269), 0) - 1 ) / COUNTIF($D$2:$D$269,"&gt;0")) + 1)</f>
        <v/>
      </c>
      <c r="O124" t="str">
        <f>IF(E124=0,"","Q"&amp;INT(4*( RANK(E124, IF($E$2:$E$269&lt;&gt;0, $E$2:$E$269), 0) - 1 ) / COUNTIF($E$2:$E$269,"&gt;0")) + 1)</f>
        <v>Q1</v>
      </c>
      <c r="P124" t="str">
        <f>IF(F124=0,"","Q"&amp;INT(4*( RANK(F124, IF($F$2:$F$269&lt;&gt;0, $F$2:$F$269), 0) - 1 ) / COUNTIF($F$2:$F$269,"&gt;0")) + 1)</f>
        <v/>
      </c>
      <c r="Q124" t="str">
        <f>IF(G124=0,"","Q"&amp;INT(4*( RANK(G124, IF($G$2:$G$269&lt;&gt;0, $G$2:$G$269), 0) - 1 ) / COUNTIF($G$2:$G$269,"&gt;0")) + 1)</f>
        <v/>
      </c>
      <c r="R124" t="str">
        <f>IF(H124=0,"","Q"&amp;INT(4*( RANK(H124, IF($H$2:$H$269&lt;&gt;0, $H$2:$H$269), 0) - 1 ) / COUNTIF($H$2:$H$269,"&gt;0")) + 1)</f>
        <v/>
      </c>
      <c r="S124" t="str">
        <f>IF(I124=0,"","Q"&amp;INT(4*( RANK(I124, IF($I$2:$I$269&lt;&gt;0, $I$2:$I$269), 0) - 1 ) / COUNTIF($I$2:$I$269,"&gt;0")) + 1)</f>
        <v/>
      </c>
      <c r="T124" t="str">
        <f>IF(J124=0,"","Q"&amp;INT(4*( RANK(J124, IF($J$2:$J$269&lt;&gt;0, $J$2:$J$269), 0) - 1 ) / COUNTIF($J$2:$J$269,"&gt;0")) + 1)</f>
        <v/>
      </c>
      <c r="U124" t="str">
        <f>IF(K124=0,"","Q"&amp;INT(4*( RANK(K124, IF($K$2:$K$269&lt;&gt;0, $K$2:$K$269), 0) - 1 ) / COUNTIF($K$2:$K$269,"&gt;0")) + 1)</f>
        <v/>
      </c>
    </row>
    <row r="125" spans="1:21" x14ac:dyDescent="0.2">
      <c r="A125" s="8" t="s">
        <v>199</v>
      </c>
      <c r="B125" s="2">
        <v>0</v>
      </c>
      <c r="C125" s="2">
        <v>0.5</v>
      </c>
      <c r="D125" s="2">
        <v>4.7619047619047603E-2</v>
      </c>
      <c r="E125" s="2">
        <v>0.156</v>
      </c>
      <c r="F125" s="2">
        <v>0.46200000000000002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t="str">
        <f>IF(B125=0,"","Q"&amp;INT(4*( RANK(B125, IF($B$2:$B$269&lt;&gt;0, $B$2:$B$269), 0) - 1 ) / COUNTIF($B$2:$B$269,"&gt;0")) + 1)</f>
        <v/>
      </c>
      <c r="M125" t="str">
        <f>IF(C125=0,"","Q"&amp;INT(4*( RANK(C125, IF($C$2:$C$269&lt;&gt;0, $C$2:$C$269), 0) - 1 ) / COUNTIF($C$2:$C$269,"&gt;0")) + 1)</f>
        <v>Q2</v>
      </c>
      <c r="N125" t="str">
        <f>IF(D125=0,"","Q"&amp;INT(4*( RANK(D125, IF($D$2:$D$269&lt;&gt;0, $D$2:$D$269), 0) - 1 ) / COUNTIF($D$2:$D$269,"&gt;0")) + 1)</f>
        <v>Q4</v>
      </c>
      <c r="O125" t="str">
        <f>IF(E125=0,"","Q"&amp;INT(4*( RANK(E125, IF($E$2:$E$269&lt;&gt;0, $E$2:$E$269), 0) - 1 ) / COUNTIF($E$2:$E$269,"&gt;0")) + 1)</f>
        <v>Q1</v>
      </c>
      <c r="P125" t="str">
        <f>IF(F125=0,"","Q"&amp;INT(4*( RANK(F125, IF($F$2:$F$269&lt;&gt;0, $F$2:$F$269), 0) - 1 ) / COUNTIF($F$2:$F$269,"&gt;0")) + 1)</f>
        <v>Q1</v>
      </c>
      <c r="Q125" t="str">
        <f>IF(G125=0,"","Q"&amp;INT(4*( RANK(G125, IF($G$2:$G$269&lt;&gt;0, $G$2:$G$269), 0) - 1 ) / COUNTIF($G$2:$G$269,"&gt;0")) + 1)</f>
        <v/>
      </c>
      <c r="R125" t="str">
        <f>IF(H125=0,"","Q"&amp;INT(4*( RANK(H125, IF($H$2:$H$269&lt;&gt;0, $H$2:$H$269), 0) - 1 ) / COUNTIF($H$2:$H$269,"&gt;0")) + 1)</f>
        <v/>
      </c>
      <c r="S125" t="str">
        <f>IF(I125=0,"","Q"&amp;INT(4*( RANK(I125, IF($I$2:$I$269&lt;&gt;0, $I$2:$I$269), 0) - 1 ) / COUNTIF($I$2:$I$269,"&gt;0")) + 1)</f>
        <v/>
      </c>
      <c r="T125" t="str">
        <f>IF(J125=0,"","Q"&amp;INT(4*( RANK(J125, IF($J$2:$J$269&lt;&gt;0, $J$2:$J$269), 0) - 1 ) / COUNTIF($J$2:$J$269,"&gt;0")) + 1)</f>
        <v/>
      </c>
      <c r="U125" t="str">
        <f>IF(K125=0,"","Q"&amp;INT(4*( RANK(K125, IF($K$2:$K$269&lt;&gt;0, $K$2:$K$269), 0) - 1 ) / COUNTIF($K$2:$K$269,"&gt;0")) + 1)</f>
        <v/>
      </c>
    </row>
    <row r="126" spans="1:21" x14ac:dyDescent="0.2">
      <c r="A126" t="s">
        <v>1053</v>
      </c>
      <c r="B126" s="2">
        <v>0</v>
      </c>
      <c r="C126" s="2">
        <v>0</v>
      </c>
      <c r="D126" s="2">
        <v>0</v>
      </c>
      <c r="E126" s="2">
        <v>2.5210084033613401E-2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t="str">
        <f>IF(B126=0,"","Q"&amp;INT(4*( RANK(B126, IF($B$2:$B$269&lt;&gt;0, $B$2:$B$269), 0) - 1 ) / COUNTIF($B$2:$B$269,"&gt;0")) + 1)</f>
        <v/>
      </c>
      <c r="M126" t="str">
        <f>IF(C126=0,"","Q"&amp;INT(4*( RANK(C126, IF($C$2:$C$269&lt;&gt;0, $C$2:$C$269), 0) - 1 ) / COUNTIF($C$2:$C$269,"&gt;0")) + 1)</f>
        <v/>
      </c>
      <c r="N126" t="str">
        <f>IF(D126=0,"","Q"&amp;INT(4*( RANK(D126, IF($D$2:$D$269&lt;&gt;0, $D$2:$D$269), 0) - 1 ) / COUNTIF($D$2:$D$269,"&gt;0")) + 1)</f>
        <v/>
      </c>
      <c r="O126" t="str">
        <f>IF(E126=0,"","Q"&amp;INT(4*( RANK(E126, IF($E$2:$E$269&lt;&gt;0, $E$2:$E$269), 0) - 1 ) / COUNTIF($E$2:$E$269,"&gt;0")) + 1)</f>
        <v>Q1</v>
      </c>
      <c r="P126" t="str">
        <f>IF(F126=0,"","Q"&amp;INT(4*( RANK(F126, IF($F$2:$F$269&lt;&gt;0, $F$2:$F$269), 0) - 1 ) / COUNTIF($F$2:$F$269,"&gt;0")) + 1)</f>
        <v/>
      </c>
      <c r="Q126" t="str">
        <f>IF(G126=0,"","Q"&amp;INT(4*( RANK(G126, IF($G$2:$G$269&lt;&gt;0, $G$2:$G$269), 0) - 1 ) / COUNTIF($G$2:$G$269,"&gt;0")) + 1)</f>
        <v/>
      </c>
      <c r="R126" t="str">
        <f>IF(H126=0,"","Q"&amp;INT(4*( RANK(H126, IF($H$2:$H$269&lt;&gt;0, $H$2:$H$269), 0) - 1 ) / COUNTIF($H$2:$H$269,"&gt;0")) + 1)</f>
        <v/>
      </c>
      <c r="S126" t="str">
        <f>IF(I126=0,"","Q"&amp;INT(4*( RANK(I126, IF($I$2:$I$269&lt;&gt;0, $I$2:$I$269), 0) - 1 ) / COUNTIF($I$2:$I$269,"&gt;0")) + 1)</f>
        <v/>
      </c>
      <c r="T126" t="str">
        <f>IF(J126=0,"","Q"&amp;INT(4*( RANK(J126, IF($J$2:$J$269&lt;&gt;0, $J$2:$J$269), 0) - 1 ) / COUNTIF($J$2:$J$269,"&gt;0")) + 1)</f>
        <v/>
      </c>
      <c r="U126" t="str">
        <f>IF(K126=0,"","Q"&amp;INT(4*( RANK(K126, IF($K$2:$K$269&lt;&gt;0, $K$2:$K$269), 0) - 1 ) / COUNTIF($K$2:$K$269,"&gt;0")) + 1)</f>
        <v/>
      </c>
    </row>
    <row r="127" spans="1:21" x14ac:dyDescent="0.2">
      <c r="A127" t="s">
        <v>983</v>
      </c>
      <c r="B127" s="2">
        <v>0</v>
      </c>
      <c r="C127" s="2">
        <v>0</v>
      </c>
      <c r="D127" s="2">
        <v>0</v>
      </c>
      <c r="E127" s="2">
        <v>4.2016806722688996E-3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t="str">
        <f>IF(B127=0,"","Q"&amp;INT(4*( RANK(B127, IF($B$2:$B$269&lt;&gt;0, $B$2:$B$269), 0) - 1 ) / COUNTIF($B$2:$B$269,"&gt;0")) + 1)</f>
        <v/>
      </c>
      <c r="M127" t="str">
        <f>IF(C127=0,"","Q"&amp;INT(4*( RANK(C127, IF($C$2:$C$269&lt;&gt;0, $C$2:$C$269), 0) - 1 ) / COUNTIF($C$2:$C$269,"&gt;0")) + 1)</f>
        <v/>
      </c>
      <c r="N127" t="str">
        <f>IF(D127=0,"","Q"&amp;INT(4*( RANK(D127, IF($D$2:$D$269&lt;&gt;0, $D$2:$D$269), 0) - 1 ) / COUNTIF($D$2:$D$269,"&gt;0")) + 1)</f>
        <v/>
      </c>
      <c r="O127" t="str">
        <f>IF(E127=0,"","Q"&amp;INT(4*( RANK(E127, IF($E$2:$E$269&lt;&gt;0, $E$2:$E$269), 0) - 1 ) / COUNTIF($E$2:$E$269,"&gt;0")) + 1)</f>
        <v>Q4</v>
      </c>
      <c r="P127" t="str">
        <f>IF(F127=0,"","Q"&amp;INT(4*( RANK(F127, IF($F$2:$F$269&lt;&gt;0, $F$2:$F$269), 0) - 1 ) / COUNTIF($F$2:$F$269,"&gt;0")) + 1)</f>
        <v/>
      </c>
      <c r="Q127" t="str">
        <f>IF(G127=0,"","Q"&amp;INT(4*( RANK(G127, IF($G$2:$G$269&lt;&gt;0, $G$2:$G$269), 0) - 1 ) / COUNTIF($G$2:$G$269,"&gt;0")) + 1)</f>
        <v/>
      </c>
      <c r="R127" t="str">
        <f>IF(H127=0,"","Q"&amp;INT(4*( RANK(H127, IF($H$2:$H$269&lt;&gt;0, $H$2:$H$269), 0) - 1 ) / COUNTIF($H$2:$H$269,"&gt;0")) + 1)</f>
        <v/>
      </c>
      <c r="S127" t="str">
        <f>IF(I127=0,"","Q"&amp;INT(4*( RANK(I127, IF($I$2:$I$269&lt;&gt;0, $I$2:$I$269), 0) - 1 ) / COUNTIF($I$2:$I$269,"&gt;0")) + 1)</f>
        <v/>
      </c>
      <c r="T127" t="str">
        <f>IF(J127=0,"","Q"&amp;INT(4*( RANK(J127, IF($J$2:$J$269&lt;&gt;0, $J$2:$J$269), 0) - 1 ) / COUNTIF($J$2:$J$269,"&gt;0")) + 1)</f>
        <v/>
      </c>
      <c r="U127" t="str">
        <f>IF(K127=0,"","Q"&amp;INT(4*( RANK(K127, IF($K$2:$K$269&lt;&gt;0, $K$2:$K$269), 0) - 1 ) / COUNTIF($K$2:$K$269,"&gt;0")) + 1)</f>
        <v/>
      </c>
    </row>
    <row r="128" spans="1:21" x14ac:dyDescent="0.2">
      <c r="A128" t="s">
        <v>1054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t="str">
        <f>IF(B128=0,"","Q"&amp;INT(4*( RANK(B128, IF($B$2:$B$269&lt;&gt;0, $B$2:$B$269), 0) - 1 ) / COUNTIF($B$2:$B$269,"&gt;0")) + 1)</f>
        <v/>
      </c>
      <c r="M128" t="str">
        <f>IF(C128=0,"","Q"&amp;INT(4*( RANK(C128, IF($C$2:$C$269&lt;&gt;0, $C$2:$C$269), 0) - 1 ) / COUNTIF($C$2:$C$269,"&gt;0")) + 1)</f>
        <v/>
      </c>
      <c r="N128" t="str">
        <f>IF(D128=0,"","Q"&amp;INT(4*( RANK(D128, IF($D$2:$D$269&lt;&gt;0, $D$2:$D$269), 0) - 1 ) / COUNTIF($D$2:$D$269,"&gt;0")) + 1)</f>
        <v/>
      </c>
      <c r="O128" t="str">
        <f>IF(E128=0,"","Q"&amp;INT(4*( RANK(E128, IF($E$2:$E$269&lt;&gt;0, $E$2:$E$269), 0) - 1 ) / COUNTIF($E$2:$E$269,"&gt;0")) + 1)</f>
        <v/>
      </c>
      <c r="P128" t="str">
        <f>IF(F128=0,"","Q"&amp;INT(4*( RANK(F128, IF($F$2:$F$269&lt;&gt;0, $F$2:$F$269), 0) - 1 ) / COUNTIF($F$2:$F$269,"&gt;0")) + 1)</f>
        <v/>
      </c>
      <c r="Q128" t="str">
        <f>IF(G128=0,"","Q"&amp;INT(4*( RANK(G128, IF($G$2:$G$269&lt;&gt;0, $G$2:$G$269), 0) - 1 ) / COUNTIF($G$2:$G$269,"&gt;0")) + 1)</f>
        <v/>
      </c>
      <c r="R128" t="str">
        <f>IF(H128=0,"","Q"&amp;INT(4*( RANK(H128, IF($H$2:$H$269&lt;&gt;0, $H$2:$H$269), 0) - 1 ) / COUNTIF($H$2:$H$269,"&gt;0")) + 1)</f>
        <v/>
      </c>
      <c r="S128" t="str">
        <f>IF(I128=0,"","Q"&amp;INT(4*( RANK(I128, IF($I$2:$I$269&lt;&gt;0, $I$2:$I$269), 0) - 1 ) / COUNTIF($I$2:$I$269,"&gt;0")) + 1)</f>
        <v>Q1</v>
      </c>
      <c r="T128" t="str">
        <f>IF(J128=0,"","Q"&amp;INT(4*( RANK(J128, IF($J$2:$J$269&lt;&gt;0, $J$2:$J$269), 0) - 1 ) / COUNTIF($J$2:$J$269,"&gt;0")) + 1)</f>
        <v/>
      </c>
      <c r="U128" t="str">
        <f>IF(K128=0,"","Q"&amp;INT(4*( RANK(K128, IF($K$2:$K$269&lt;&gt;0, $K$2:$K$269), 0) - 1 ) / COUNTIF($K$2:$K$269,"&gt;0")) + 1)</f>
        <v/>
      </c>
    </row>
    <row r="129" spans="1:21" x14ac:dyDescent="0.2">
      <c r="A129" t="s">
        <v>1055</v>
      </c>
      <c r="B129" s="2">
        <v>0</v>
      </c>
      <c r="C129" s="2">
        <v>0</v>
      </c>
      <c r="D129" s="2">
        <v>0</v>
      </c>
      <c r="E129" s="2">
        <v>8.4033613445378096E-3</v>
      </c>
      <c r="F129" s="2">
        <v>3.8461538461538401E-2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t="str">
        <f>IF(B129=0,"","Q"&amp;INT(4*( RANK(B129, IF($B$2:$B$269&lt;&gt;0, $B$2:$B$269), 0) - 1 ) / COUNTIF($B$2:$B$269,"&gt;0")) + 1)</f>
        <v/>
      </c>
      <c r="M129" t="str">
        <f>IF(C129=0,"","Q"&amp;INT(4*( RANK(C129, IF($C$2:$C$269&lt;&gt;0, $C$2:$C$269), 0) - 1 ) / COUNTIF($C$2:$C$269,"&gt;0")) + 1)</f>
        <v/>
      </c>
      <c r="N129" t="str">
        <f>IF(D129=0,"","Q"&amp;INT(4*( RANK(D129, IF($D$2:$D$269&lt;&gt;0, $D$2:$D$269), 0) - 1 ) / COUNTIF($D$2:$D$269,"&gt;0")) + 1)</f>
        <v/>
      </c>
      <c r="O129" t="str">
        <f>IF(E129=0,"","Q"&amp;INT(4*( RANK(E129, IF($E$2:$E$269&lt;&gt;0, $E$2:$E$269), 0) - 1 ) / COUNTIF($E$2:$E$269,"&gt;0")) + 1)</f>
        <v>Q3</v>
      </c>
      <c r="P129" t="str">
        <f>IF(F129=0,"","Q"&amp;INT(4*( RANK(F129, IF($F$2:$F$269&lt;&gt;0, $F$2:$F$269), 0) - 1 ) / COUNTIF($F$2:$F$269,"&gt;0")) + 1)</f>
        <v>Q4</v>
      </c>
      <c r="Q129" t="str">
        <f>IF(G129=0,"","Q"&amp;INT(4*( RANK(G129, IF($G$2:$G$269&lt;&gt;0, $G$2:$G$269), 0) - 1 ) / COUNTIF($G$2:$G$269,"&gt;0")) + 1)</f>
        <v/>
      </c>
      <c r="R129" t="str">
        <f>IF(H129=0,"","Q"&amp;INT(4*( RANK(H129, IF($H$2:$H$269&lt;&gt;0, $H$2:$H$269), 0) - 1 ) / COUNTIF($H$2:$H$269,"&gt;0")) + 1)</f>
        <v/>
      </c>
      <c r="S129" t="str">
        <f>IF(I129=0,"","Q"&amp;INT(4*( RANK(I129, IF($I$2:$I$269&lt;&gt;0, $I$2:$I$269), 0) - 1 ) / COUNTIF($I$2:$I$269,"&gt;0")) + 1)</f>
        <v/>
      </c>
      <c r="T129" t="str">
        <f>IF(J129=0,"","Q"&amp;INT(4*( RANK(J129, IF($J$2:$J$269&lt;&gt;0, $J$2:$J$269), 0) - 1 ) / COUNTIF($J$2:$J$269,"&gt;0")) + 1)</f>
        <v/>
      </c>
      <c r="U129" t="str">
        <f>IF(K129=0,"","Q"&amp;INT(4*( RANK(K129, IF($K$2:$K$269&lt;&gt;0, $K$2:$K$269), 0) - 1 ) / COUNTIF($K$2:$K$269,"&gt;0")) + 1)</f>
        <v/>
      </c>
    </row>
    <row r="130" spans="1:21" x14ac:dyDescent="0.2">
      <c r="A130" t="s">
        <v>203</v>
      </c>
      <c r="B130" s="2">
        <v>0</v>
      </c>
      <c r="C130" s="2">
        <v>0</v>
      </c>
      <c r="D130" s="2">
        <v>0</v>
      </c>
      <c r="E130" s="2">
        <v>0</v>
      </c>
      <c r="F130" s="2">
        <v>3.8461538461538401E-2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t="str">
        <f>IF(B130=0,"","Q"&amp;INT(4*( RANK(B130, IF($B$2:$B$269&lt;&gt;0, $B$2:$B$269), 0) - 1 ) / COUNTIF($B$2:$B$269,"&gt;0")) + 1)</f>
        <v/>
      </c>
      <c r="M130" t="str">
        <f>IF(C130=0,"","Q"&amp;INT(4*( RANK(C130, IF($C$2:$C$269&lt;&gt;0, $C$2:$C$269), 0) - 1 ) / COUNTIF($C$2:$C$269,"&gt;0")) + 1)</f>
        <v/>
      </c>
      <c r="N130" t="str">
        <f>IF(D130=0,"","Q"&amp;INT(4*( RANK(D130, IF($D$2:$D$269&lt;&gt;0, $D$2:$D$269), 0) - 1 ) / COUNTIF($D$2:$D$269,"&gt;0")) + 1)</f>
        <v/>
      </c>
      <c r="O130" t="str">
        <f>IF(E130=0,"","Q"&amp;INT(4*( RANK(E130, IF($E$2:$E$269&lt;&gt;0, $E$2:$E$269), 0) - 1 ) / COUNTIF($E$2:$E$269,"&gt;0")) + 1)</f>
        <v/>
      </c>
      <c r="P130" t="str">
        <f>IF(F130=0,"","Q"&amp;INT(4*( RANK(F130, IF($F$2:$F$269&lt;&gt;0, $F$2:$F$269), 0) - 1 ) / COUNTIF($F$2:$F$269,"&gt;0")) + 1)</f>
        <v>Q4</v>
      </c>
      <c r="Q130" t="str">
        <f>IF(G130=0,"","Q"&amp;INT(4*( RANK(G130, IF($G$2:$G$269&lt;&gt;0, $G$2:$G$269), 0) - 1 ) / COUNTIF($G$2:$G$269,"&gt;0")) + 1)</f>
        <v/>
      </c>
      <c r="R130" t="str">
        <f>IF(H130=0,"","Q"&amp;INT(4*( RANK(H130, IF($H$2:$H$269&lt;&gt;0, $H$2:$H$269), 0) - 1 ) / COUNTIF($H$2:$H$269,"&gt;0")) + 1)</f>
        <v/>
      </c>
      <c r="S130" t="str">
        <f>IF(I130=0,"","Q"&amp;INT(4*( RANK(I130, IF($I$2:$I$269&lt;&gt;0, $I$2:$I$269), 0) - 1 ) / COUNTIF($I$2:$I$269,"&gt;0")) + 1)</f>
        <v/>
      </c>
      <c r="T130" t="str">
        <f>IF(J130=0,"","Q"&amp;INT(4*( RANK(J130, IF($J$2:$J$269&lt;&gt;0, $J$2:$J$269), 0) - 1 ) / COUNTIF($J$2:$J$269,"&gt;0")) + 1)</f>
        <v/>
      </c>
      <c r="U130" t="str">
        <f>IF(K130=0,"","Q"&amp;INT(4*( RANK(K130, IF($K$2:$K$269&lt;&gt;0, $K$2:$K$269), 0) - 1 ) / COUNTIF($K$2:$K$269,"&gt;0")) + 1)</f>
        <v/>
      </c>
    </row>
    <row r="131" spans="1:21" x14ac:dyDescent="0.2">
      <c r="A131" t="s">
        <v>204</v>
      </c>
      <c r="B131" s="2">
        <v>0</v>
      </c>
      <c r="C131" s="2">
        <v>0</v>
      </c>
      <c r="D131" s="2">
        <v>0</v>
      </c>
      <c r="E131" s="2">
        <v>4.2016806722688996E-3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t="str">
        <f>IF(B131=0,"","Q"&amp;INT(4*( RANK(B131, IF($B$2:$B$269&lt;&gt;0, $B$2:$B$269), 0) - 1 ) / COUNTIF($B$2:$B$269,"&gt;0")) + 1)</f>
        <v/>
      </c>
      <c r="M131" t="str">
        <f>IF(C131=0,"","Q"&amp;INT(4*( RANK(C131, IF($C$2:$C$269&lt;&gt;0, $C$2:$C$269), 0) - 1 ) / COUNTIF($C$2:$C$269,"&gt;0")) + 1)</f>
        <v/>
      </c>
      <c r="N131" t="str">
        <f>IF(D131=0,"","Q"&amp;INT(4*( RANK(D131, IF($D$2:$D$269&lt;&gt;0, $D$2:$D$269), 0) - 1 ) / COUNTIF($D$2:$D$269,"&gt;0")) + 1)</f>
        <v/>
      </c>
      <c r="O131" t="str">
        <f>IF(E131=0,"","Q"&amp;INT(4*( RANK(E131, IF($E$2:$E$269&lt;&gt;0, $E$2:$E$269), 0) - 1 ) / COUNTIF($E$2:$E$269,"&gt;0")) + 1)</f>
        <v>Q4</v>
      </c>
      <c r="P131" t="str">
        <f>IF(F131=0,"","Q"&amp;INT(4*( RANK(F131, IF($F$2:$F$269&lt;&gt;0, $F$2:$F$269), 0) - 1 ) / COUNTIF($F$2:$F$269,"&gt;0")) + 1)</f>
        <v/>
      </c>
      <c r="Q131" t="str">
        <f>IF(G131=0,"","Q"&amp;INT(4*( RANK(G131, IF($G$2:$G$269&lt;&gt;0, $G$2:$G$269), 0) - 1 ) / COUNTIF($G$2:$G$269,"&gt;0")) + 1)</f>
        <v/>
      </c>
      <c r="R131" t="str">
        <f>IF(H131=0,"","Q"&amp;INT(4*( RANK(H131, IF($H$2:$H$269&lt;&gt;0, $H$2:$H$269), 0) - 1 ) / COUNTIF($H$2:$H$269,"&gt;0")) + 1)</f>
        <v/>
      </c>
      <c r="S131" t="str">
        <f>IF(I131=0,"","Q"&amp;INT(4*( RANK(I131, IF($I$2:$I$269&lt;&gt;0, $I$2:$I$269), 0) - 1 ) / COUNTIF($I$2:$I$269,"&gt;0")) + 1)</f>
        <v/>
      </c>
      <c r="T131" t="str">
        <f>IF(J131=0,"","Q"&amp;INT(4*( RANK(J131, IF($J$2:$J$269&lt;&gt;0, $J$2:$J$269), 0) - 1 ) / COUNTIF($J$2:$J$269,"&gt;0")) + 1)</f>
        <v/>
      </c>
      <c r="U131" t="str">
        <f>IF(K131=0,"","Q"&amp;INT(4*( RANK(K131, IF($K$2:$K$269&lt;&gt;0, $K$2:$K$269), 0) - 1 ) / COUNTIF($K$2:$K$269,"&gt;0")) + 1)</f>
        <v/>
      </c>
    </row>
    <row r="132" spans="1:21" x14ac:dyDescent="0.2">
      <c r="A132" t="s">
        <v>1056</v>
      </c>
      <c r="B132" s="2">
        <v>0</v>
      </c>
      <c r="C132" s="2">
        <v>0</v>
      </c>
      <c r="D132" s="2">
        <v>0</v>
      </c>
      <c r="E132" s="2">
        <v>1.6806722689075598E-2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t="str">
        <f>IF(B132=0,"","Q"&amp;INT(4*( RANK(B132, IF($B$2:$B$269&lt;&gt;0, $B$2:$B$269), 0) - 1 ) / COUNTIF($B$2:$B$269,"&gt;0")) + 1)</f>
        <v/>
      </c>
      <c r="M132" t="str">
        <f>IF(C132=0,"","Q"&amp;INT(4*( RANK(C132, IF($C$2:$C$269&lt;&gt;0, $C$2:$C$269), 0) - 1 ) / COUNTIF($C$2:$C$269,"&gt;0")) + 1)</f>
        <v/>
      </c>
      <c r="N132" t="str">
        <f>IF(D132=0,"","Q"&amp;INT(4*( RANK(D132, IF($D$2:$D$269&lt;&gt;0, $D$2:$D$269), 0) - 1 ) / COUNTIF($D$2:$D$269,"&gt;0")) + 1)</f>
        <v/>
      </c>
      <c r="O132" t="str">
        <f>IF(E132=0,"","Q"&amp;INT(4*( RANK(E132, IF($E$2:$E$269&lt;&gt;0, $E$2:$E$269), 0) - 1 ) / COUNTIF($E$2:$E$269,"&gt;0")) + 1)</f>
        <v>Q2</v>
      </c>
      <c r="P132" t="str">
        <f>IF(F132=0,"","Q"&amp;INT(4*( RANK(F132, IF($F$2:$F$269&lt;&gt;0, $F$2:$F$269), 0) - 1 ) / COUNTIF($F$2:$F$269,"&gt;0")) + 1)</f>
        <v/>
      </c>
      <c r="Q132" t="str">
        <f>IF(G132=0,"","Q"&amp;INT(4*( RANK(G132, IF($G$2:$G$269&lt;&gt;0, $G$2:$G$269), 0) - 1 ) / COUNTIF($G$2:$G$269,"&gt;0")) + 1)</f>
        <v/>
      </c>
      <c r="R132" t="str">
        <f>IF(H132=0,"","Q"&amp;INT(4*( RANK(H132, IF($H$2:$H$269&lt;&gt;0, $H$2:$H$269), 0) - 1 ) / COUNTIF($H$2:$H$269,"&gt;0")) + 1)</f>
        <v/>
      </c>
      <c r="S132" t="str">
        <f>IF(I132=0,"","Q"&amp;INT(4*( RANK(I132, IF($I$2:$I$269&lt;&gt;0, $I$2:$I$269), 0) - 1 ) / COUNTIF($I$2:$I$269,"&gt;0")) + 1)</f>
        <v/>
      </c>
      <c r="T132" t="str">
        <f>IF(J132=0,"","Q"&amp;INT(4*( RANK(J132, IF($J$2:$J$269&lt;&gt;0, $J$2:$J$269), 0) - 1 ) / COUNTIF($J$2:$J$269,"&gt;0")) + 1)</f>
        <v/>
      </c>
      <c r="U132" t="str">
        <f>IF(K132=0,"","Q"&amp;INT(4*( RANK(K132, IF($K$2:$K$269&lt;&gt;0, $K$2:$K$269), 0) - 1 ) / COUNTIF($K$2:$K$269,"&gt;0")) + 1)</f>
        <v/>
      </c>
    </row>
    <row r="133" spans="1:21" x14ac:dyDescent="0.2">
      <c r="A133" t="s">
        <v>206</v>
      </c>
      <c r="B133" s="2">
        <v>0</v>
      </c>
      <c r="C133" s="2">
        <v>0</v>
      </c>
      <c r="D133" s="2">
        <v>0</v>
      </c>
      <c r="E133" s="2">
        <v>0</v>
      </c>
      <c r="F133" s="2">
        <v>0.115384615384615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t="str">
        <f>IF(B133=0,"","Q"&amp;INT(4*( RANK(B133, IF($B$2:$B$269&lt;&gt;0, $B$2:$B$269), 0) - 1 ) / COUNTIF($B$2:$B$269,"&gt;0")) + 1)</f>
        <v/>
      </c>
      <c r="M133" t="str">
        <f>IF(C133=0,"","Q"&amp;INT(4*( RANK(C133, IF($C$2:$C$269&lt;&gt;0, $C$2:$C$269), 0) - 1 ) / COUNTIF($C$2:$C$269,"&gt;0")) + 1)</f>
        <v/>
      </c>
      <c r="N133" t="str">
        <f>IF(D133=0,"","Q"&amp;INT(4*( RANK(D133, IF($D$2:$D$269&lt;&gt;0, $D$2:$D$269), 0) - 1 ) / COUNTIF($D$2:$D$269,"&gt;0")) + 1)</f>
        <v/>
      </c>
      <c r="O133" t="str">
        <f>IF(E133=0,"","Q"&amp;INT(4*( RANK(E133, IF($E$2:$E$269&lt;&gt;0, $E$2:$E$269), 0) - 1 ) / COUNTIF($E$2:$E$269,"&gt;0")) + 1)</f>
        <v/>
      </c>
      <c r="P133" t="str">
        <f>IF(F133=0,"","Q"&amp;INT(4*( RANK(F133, IF($F$2:$F$269&lt;&gt;0, $F$2:$F$269), 0) - 1 ) / COUNTIF($F$2:$F$269,"&gt;0")) + 1)</f>
        <v>Q2</v>
      </c>
      <c r="Q133" t="str">
        <f>IF(G133=0,"","Q"&amp;INT(4*( RANK(G133, IF($G$2:$G$269&lt;&gt;0, $G$2:$G$269), 0) - 1 ) / COUNTIF($G$2:$G$269,"&gt;0")) + 1)</f>
        <v/>
      </c>
      <c r="R133" t="str">
        <f>IF(H133=0,"","Q"&amp;INT(4*( RANK(H133, IF($H$2:$H$269&lt;&gt;0, $H$2:$H$269), 0) - 1 ) / COUNTIF($H$2:$H$269,"&gt;0")) + 1)</f>
        <v/>
      </c>
      <c r="S133" t="str">
        <f>IF(I133=0,"","Q"&amp;INT(4*( RANK(I133, IF($I$2:$I$269&lt;&gt;0, $I$2:$I$269), 0) - 1 ) / COUNTIF($I$2:$I$269,"&gt;0")) + 1)</f>
        <v/>
      </c>
      <c r="T133" t="str">
        <f>IF(J133=0,"","Q"&amp;INT(4*( RANK(J133, IF($J$2:$J$269&lt;&gt;0, $J$2:$J$269), 0) - 1 ) / COUNTIF($J$2:$J$269,"&gt;0")) + 1)</f>
        <v/>
      </c>
      <c r="U133" t="str">
        <f>IF(K133=0,"","Q"&amp;INT(4*( RANK(K133, IF($K$2:$K$269&lt;&gt;0, $K$2:$K$269), 0) - 1 ) / COUNTIF($K$2:$K$269,"&gt;0")) + 1)</f>
        <v/>
      </c>
    </row>
    <row r="134" spans="1:21" x14ac:dyDescent="0.2">
      <c r="A134" t="s">
        <v>207</v>
      </c>
      <c r="B134" s="2">
        <v>0</v>
      </c>
      <c r="C134" s="2">
        <v>0</v>
      </c>
      <c r="D134" s="2">
        <v>0</v>
      </c>
      <c r="E134" s="2">
        <v>8.4033613445378096E-3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t="str">
        <f>IF(B134=0,"","Q"&amp;INT(4*( RANK(B134, IF($B$2:$B$269&lt;&gt;0, $B$2:$B$269), 0) - 1 ) / COUNTIF($B$2:$B$269,"&gt;0")) + 1)</f>
        <v/>
      </c>
      <c r="M134" t="str">
        <f>IF(C134=0,"","Q"&amp;INT(4*( RANK(C134, IF($C$2:$C$269&lt;&gt;0, $C$2:$C$269), 0) - 1 ) / COUNTIF($C$2:$C$269,"&gt;0")) + 1)</f>
        <v/>
      </c>
      <c r="N134" t="str">
        <f>IF(D134=0,"","Q"&amp;INT(4*( RANK(D134, IF($D$2:$D$269&lt;&gt;0, $D$2:$D$269), 0) - 1 ) / COUNTIF($D$2:$D$269,"&gt;0")) + 1)</f>
        <v/>
      </c>
      <c r="O134" t="str">
        <f>IF(E134=0,"","Q"&amp;INT(4*( RANK(E134, IF($E$2:$E$269&lt;&gt;0, $E$2:$E$269), 0) - 1 ) / COUNTIF($E$2:$E$269,"&gt;0")) + 1)</f>
        <v>Q3</v>
      </c>
      <c r="P134" t="str">
        <f>IF(F134=0,"","Q"&amp;INT(4*( RANK(F134, IF($F$2:$F$269&lt;&gt;0, $F$2:$F$269), 0) - 1 ) / COUNTIF($F$2:$F$269,"&gt;0")) + 1)</f>
        <v/>
      </c>
      <c r="Q134" t="str">
        <f>IF(G134=0,"","Q"&amp;INT(4*( RANK(G134, IF($G$2:$G$269&lt;&gt;0, $G$2:$G$269), 0) - 1 ) / COUNTIF($G$2:$G$269,"&gt;0")) + 1)</f>
        <v/>
      </c>
      <c r="R134" t="str">
        <f>IF(H134=0,"","Q"&amp;INT(4*( RANK(H134, IF($H$2:$H$269&lt;&gt;0, $H$2:$H$269), 0) - 1 ) / COUNTIF($H$2:$H$269,"&gt;0")) + 1)</f>
        <v/>
      </c>
      <c r="S134" t="str">
        <f>IF(I134=0,"","Q"&amp;INT(4*( RANK(I134, IF($I$2:$I$269&lt;&gt;0, $I$2:$I$269), 0) - 1 ) / COUNTIF($I$2:$I$269,"&gt;0")) + 1)</f>
        <v/>
      </c>
      <c r="T134" t="str">
        <f>IF(J134=0,"","Q"&amp;INT(4*( RANK(J134, IF($J$2:$J$269&lt;&gt;0, $J$2:$J$269), 0) - 1 ) / COUNTIF($J$2:$J$269,"&gt;0")) + 1)</f>
        <v/>
      </c>
      <c r="U134" t="str">
        <f>IF(K134=0,"","Q"&amp;INT(4*( RANK(K134, IF($K$2:$K$269&lt;&gt;0, $K$2:$K$269), 0) - 1 ) / COUNTIF($K$2:$K$269,"&gt;0")) + 1)</f>
        <v/>
      </c>
    </row>
    <row r="135" spans="1:21" x14ac:dyDescent="0.2">
      <c r="A135" t="s">
        <v>208</v>
      </c>
      <c r="B135" s="2">
        <v>0</v>
      </c>
      <c r="C135" s="2">
        <v>0</v>
      </c>
      <c r="D135" s="2">
        <v>0</v>
      </c>
      <c r="E135" s="2">
        <v>8.4033613445378096E-3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t="str">
        <f>IF(B135=0,"","Q"&amp;INT(4*( RANK(B135, IF($B$2:$B$269&lt;&gt;0, $B$2:$B$269), 0) - 1 ) / COUNTIF($B$2:$B$269,"&gt;0")) + 1)</f>
        <v/>
      </c>
      <c r="M135" t="str">
        <f>IF(C135=0,"","Q"&amp;INT(4*( RANK(C135, IF($C$2:$C$269&lt;&gt;0, $C$2:$C$269), 0) - 1 ) / COUNTIF($C$2:$C$269,"&gt;0")) + 1)</f>
        <v/>
      </c>
      <c r="N135" t="str">
        <f>IF(D135=0,"","Q"&amp;INT(4*( RANK(D135, IF($D$2:$D$269&lt;&gt;0, $D$2:$D$269), 0) - 1 ) / COUNTIF($D$2:$D$269,"&gt;0")) + 1)</f>
        <v/>
      </c>
      <c r="O135" t="str">
        <f>IF(E135=0,"","Q"&amp;INT(4*( RANK(E135, IF($E$2:$E$269&lt;&gt;0, $E$2:$E$269), 0) - 1 ) / COUNTIF($E$2:$E$269,"&gt;0")) + 1)</f>
        <v>Q3</v>
      </c>
      <c r="P135" t="str">
        <f>IF(F135=0,"","Q"&amp;INT(4*( RANK(F135, IF($F$2:$F$269&lt;&gt;0, $F$2:$F$269), 0) - 1 ) / COUNTIF($F$2:$F$269,"&gt;0")) + 1)</f>
        <v/>
      </c>
      <c r="Q135" t="str">
        <f>IF(G135=0,"","Q"&amp;INT(4*( RANK(G135, IF($G$2:$G$269&lt;&gt;0, $G$2:$G$269), 0) - 1 ) / COUNTIF($G$2:$G$269,"&gt;0")) + 1)</f>
        <v/>
      </c>
      <c r="R135" t="str">
        <f>IF(H135=0,"","Q"&amp;INT(4*( RANK(H135, IF($H$2:$H$269&lt;&gt;0, $H$2:$H$269), 0) - 1 ) / COUNTIF($H$2:$H$269,"&gt;0")) + 1)</f>
        <v/>
      </c>
      <c r="S135" t="str">
        <f>IF(I135=0,"","Q"&amp;INT(4*( RANK(I135, IF($I$2:$I$269&lt;&gt;0, $I$2:$I$269), 0) - 1 ) / COUNTIF($I$2:$I$269,"&gt;0")) + 1)</f>
        <v/>
      </c>
      <c r="T135" t="str">
        <f>IF(J135=0,"","Q"&amp;INT(4*( RANK(J135, IF($J$2:$J$269&lt;&gt;0, $J$2:$J$269), 0) - 1 ) / COUNTIF($J$2:$J$269,"&gt;0")) + 1)</f>
        <v/>
      </c>
      <c r="U135" t="str">
        <f>IF(K135=0,"","Q"&amp;INT(4*( RANK(K135, IF($K$2:$K$269&lt;&gt;0, $K$2:$K$269), 0) - 1 ) / COUNTIF($K$2:$K$269,"&gt;0")) + 1)</f>
        <v/>
      </c>
    </row>
    <row r="136" spans="1:21" x14ac:dyDescent="0.2">
      <c r="A136" t="s">
        <v>209</v>
      </c>
      <c r="B136" s="2">
        <v>0</v>
      </c>
      <c r="C136" s="2">
        <v>0</v>
      </c>
      <c r="D136" s="2">
        <v>0</v>
      </c>
      <c r="E136" s="2">
        <v>8.4033613445378096E-3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t="str">
        <f>IF(B136=0,"","Q"&amp;INT(4*( RANK(B136, IF($B$2:$B$269&lt;&gt;0, $B$2:$B$269), 0) - 1 ) / COUNTIF($B$2:$B$269,"&gt;0")) + 1)</f>
        <v/>
      </c>
      <c r="M136" t="str">
        <f>IF(C136=0,"","Q"&amp;INT(4*( RANK(C136, IF($C$2:$C$269&lt;&gt;0, $C$2:$C$269), 0) - 1 ) / COUNTIF($C$2:$C$269,"&gt;0")) + 1)</f>
        <v/>
      </c>
      <c r="N136" t="str">
        <f>IF(D136=0,"","Q"&amp;INT(4*( RANK(D136, IF($D$2:$D$269&lt;&gt;0, $D$2:$D$269), 0) - 1 ) / COUNTIF($D$2:$D$269,"&gt;0")) + 1)</f>
        <v/>
      </c>
      <c r="O136" t="str">
        <f>IF(E136=0,"","Q"&amp;INT(4*( RANK(E136, IF($E$2:$E$269&lt;&gt;0, $E$2:$E$269), 0) - 1 ) / COUNTIF($E$2:$E$269,"&gt;0")) + 1)</f>
        <v>Q3</v>
      </c>
      <c r="P136" t="str">
        <f>IF(F136=0,"","Q"&amp;INT(4*( RANK(F136, IF($F$2:$F$269&lt;&gt;0, $F$2:$F$269), 0) - 1 ) / COUNTIF($F$2:$F$269,"&gt;0")) + 1)</f>
        <v/>
      </c>
      <c r="Q136" t="str">
        <f>IF(G136=0,"","Q"&amp;INT(4*( RANK(G136, IF($G$2:$G$269&lt;&gt;0, $G$2:$G$269), 0) - 1 ) / COUNTIF($G$2:$G$269,"&gt;0")) + 1)</f>
        <v/>
      </c>
      <c r="R136" t="str">
        <f>IF(H136=0,"","Q"&amp;INT(4*( RANK(H136, IF($H$2:$H$269&lt;&gt;0, $H$2:$H$269), 0) - 1 ) / COUNTIF($H$2:$H$269,"&gt;0")) + 1)</f>
        <v/>
      </c>
      <c r="S136" t="str">
        <f>IF(I136=0,"","Q"&amp;INT(4*( RANK(I136, IF($I$2:$I$269&lt;&gt;0, $I$2:$I$269), 0) - 1 ) / COUNTIF($I$2:$I$269,"&gt;0")) + 1)</f>
        <v/>
      </c>
      <c r="T136" t="str">
        <f>IF(J136=0,"","Q"&amp;INT(4*( RANK(J136, IF($J$2:$J$269&lt;&gt;0, $J$2:$J$269), 0) - 1 ) / COUNTIF($J$2:$J$269,"&gt;0")) + 1)</f>
        <v/>
      </c>
      <c r="U136" t="str">
        <f>IF(K136=0,"","Q"&amp;INT(4*( RANK(K136, IF($K$2:$K$269&lt;&gt;0, $K$2:$K$269), 0) - 1 ) / COUNTIF($K$2:$K$269,"&gt;0")) + 1)</f>
        <v/>
      </c>
    </row>
    <row r="137" spans="1:21" x14ac:dyDescent="0.2">
      <c r="A137" t="s">
        <v>1057</v>
      </c>
      <c r="B137" s="2">
        <v>0</v>
      </c>
      <c r="C137" s="2">
        <v>0</v>
      </c>
      <c r="D137" s="2">
        <v>0</v>
      </c>
      <c r="E137" s="2">
        <v>1.26050420168067E-2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t="str">
        <f>IF(B137=0,"","Q"&amp;INT(4*( RANK(B137, IF($B$2:$B$269&lt;&gt;0, $B$2:$B$269), 0) - 1 ) / COUNTIF($B$2:$B$269,"&gt;0")) + 1)</f>
        <v/>
      </c>
      <c r="M137" t="str">
        <f>IF(C137=0,"","Q"&amp;INT(4*( RANK(C137, IF($C$2:$C$269&lt;&gt;0, $C$2:$C$269), 0) - 1 ) / COUNTIF($C$2:$C$269,"&gt;0")) + 1)</f>
        <v/>
      </c>
      <c r="N137" t="str">
        <f>IF(D137=0,"","Q"&amp;INT(4*( RANK(D137, IF($D$2:$D$269&lt;&gt;0, $D$2:$D$269), 0) - 1 ) / COUNTIF($D$2:$D$269,"&gt;0")) + 1)</f>
        <v/>
      </c>
      <c r="O137" t="str">
        <f>IF(E137=0,"","Q"&amp;INT(4*( RANK(E137, IF($E$2:$E$269&lt;&gt;0, $E$2:$E$269), 0) - 1 ) / COUNTIF($E$2:$E$269,"&gt;0")) + 1)</f>
        <v>Q2</v>
      </c>
      <c r="P137" t="str">
        <f>IF(F137=0,"","Q"&amp;INT(4*( RANK(F137, IF($F$2:$F$269&lt;&gt;0, $F$2:$F$269), 0) - 1 ) / COUNTIF($F$2:$F$269,"&gt;0")) + 1)</f>
        <v/>
      </c>
      <c r="Q137" t="str">
        <f>IF(G137=0,"","Q"&amp;INT(4*( RANK(G137, IF($G$2:$G$269&lt;&gt;0, $G$2:$G$269), 0) - 1 ) / COUNTIF($G$2:$G$269,"&gt;0")) + 1)</f>
        <v/>
      </c>
      <c r="R137" t="str">
        <f>IF(H137=0,"","Q"&amp;INT(4*( RANK(H137, IF($H$2:$H$269&lt;&gt;0, $H$2:$H$269), 0) - 1 ) / COUNTIF($H$2:$H$269,"&gt;0")) + 1)</f>
        <v/>
      </c>
      <c r="S137" t="str">
        <f>IF(I137=0,"","Q"&amp;INT(4*( RANK(I137, IF($I$2:$I$269&lt;&gt;0, $I$2:$I$269), 0) - 1 ) / COUNTIF($I$2:$I$269,"&gt;0")) + 1)</f>
        <v/>
      </c>
      <c r="T137" t="str">
        <f>IF(J137=0,"","Q"&amp;INT(4*( RANK(J137, IF($J$2:$J$269&lt;&gt;0, $J$2:$J$269), 0) - 1 ) / COUNTIF($J$2:$J$269,"&gt;0")) + 1)</f>
        <v/>
      </c>
      <c r="U137" t="str">
        <f>IF(K137=0,"","Q"&amp;INT(4*( RANK(K137, IF($K$2:$K$269&lt;&gt;0, $K$2:$K$269), 0) - 1 ) / COUNTIF($K$2:$K$269,"&gt;0")) + 1)</f>
        <v/>
      </c>
    </row>
    <row r="138" spans="1:21" x14ac:dyDescent="0.2">
      <c r="A138" t="s">
        <v>1058</v>
      </c>
      <c r="B138" s="2">
        <v>0</v>
      </c>
      <c r="C138" s="2">
        <v>0</v>
      </c>
      <c r="D138" s="2">
        <v>0</v>
      </c>
      <c r="E138" s="2">
        <v>1.6806722689075598E-2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t="str">
        <f>IF(B138=0,"","Q"&amp;INT(4*( RANK(B138, IF($B$2:$B$269&lt;&gt;0, $B$2:$B$269), 0) - 1 ) / COUNTIF($B$2:$B$269,"&gt;0")) + 1)</f>
        <v/>
      </c>
      <c r="M138" t="str">
        <f>IF(C138=0,"","Q"&amp;INT(4*( RANK(C138, IF($C$2:$C$269&lt;&gt;0, $C$2:$C$269), 0) - 1 ) / COUNTIF($C$2:$C$269,"&gt;0")) + 1)</f>
        <v/>
      </c>
      <c r="N138" t="str">
        <f>IF(D138=0,"","Q"&amp;INT(4*( RANK(D138, IF($D$2:$D$269&lt;&gt;0, $D$2:$D$269), 0) - 1 ) / COUNTIF($D$2:$D$269,"&gt;0")) + 1)</f>
        <v/>
      </c>
      <c r="O138" t="str">
        <f>IF(E138=0,"","Q"&amp;INT(4*( RANK(E138, IF($E$2:$E$269&lt;&gt;0, $E$2:$E$269), 0) - 1 ) / COUNTIF($E$2:$E$269,"&gt;0")) + 1)</f>
        <v>Q2</v>
      </c>
      <c r="P138" t="str">
        <f>IF(F138=0,"","Q"&amp;INT(4*( RANK(F138, IF($F$2:$F$269&lt;&gt;0, $F$2:$F$269), 0) - 1 ) / COUNTIF($F$2:$F$269,"&gt;0")) + 1)</f>
        <v/>
      </c>
      <c r="Q138" t="str">
        <f>IF(G138=0,"","Q"&amp;INT(4*( RANK(G138, IF($G$2:$G$269&lt;&gt;0, $G$2:$G$269), 0) - 1 ) / COUNTIF($G$2:$G$269,"&gt;0")) + 1)</f>
        <v/>
      </c>
      <c r="R138" t="str">
        <f>IF(H138=0,"","Q"&amp;INT(4*( RANK(H138, IF($H$2:$H$269&lt;&gt;0, $H$2:$H$269), 0) - 1 ) / COUNTIF($H$2:$H$269,"&gt;0")) + 1)</f>
        <v/>
      </c>
      <c r="S138" t="str">
        <f>IF(I138=0,"","Q"&amp;INT(4*( RANK(I138, IF($I$2:$I$269&lt;&gt;0, $I$2:$I$269), 0) - 1 ) / COUNTIF($I$2:$I$269,"&gt;0")) + 1)</f>
        <v/>
      </c>
      <c r="T138" t="str">
        <f>IF(J138=0,"","Q"&amp;INT(4*( RANK(J138, IF($J$2:$J$269&lt;&gt;0, $J$2:$J$269), 0) - 1 ) / COUNTIF($J$2:$J$269,"&gt;0")) + 1)</f>
        <v/>
      </c>
      <c r="U138" t="str">
        <f>IF(K138=0,"","Q"&amp;INT(4*( RANK(K138, IF($K$2:$K$269&lt;&gt;0, $K$2:$K$269), 0) - 1 ) / COUNTIF($K$2:$K$269,"&gt;0")) + 1)</f>
        <v/>
      </c>
    </row>
    <row r="139" spans="1:21" x14ac:dyDescent="0.2">
      <c r="A139" t="s">
        <v>1059</v>
      </c>
      <c r="B139" s="2">
        <v>0</v>
      </c>
      <c r="C139" s="2">
        <v>0</v>
      </c>
      <c r="D139" s="2">
        <v>0</v>
      </c>
      <c r="E139" s="2">
        <v>1.26050420168067E-2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t="str">
        <f>IF(B139=0,"","Q"&amp;INT(4*( RANK(B139, IF($B$2:$B$269&lt;&gt;0, $B$2:$B$269), 0) - 1 ) / COUNTIF($B$2:$B$269,"&gt;0")) + 1)</f>
        <v/>
      </c>
      <c r="M139" t="str">
        <f>IF(C139=0,"","Q"&amp;INT(4*( RANK(C139, IF($C$2:$C$269&lt;&gt;0, $C$2:$C$269), 0) - 1 ) / COUNTIF($C$2:$C$269,"&gt;0")) + 1)</f>
        <v/>
      </c>
      <c r="N139" t="str">
        <f>IF(D139=0,"","Q"&amp;INT(4*( RANK(D139, IF($D$2:$D$269&lt;&gt;0, $D$2:$D$269), 0) - 1 ) / COUNTIF($D$2:$D$269,"&gt;0")) + 1)</f>
        <v/>
      </c>
      <c r="O139" t="str">
        <f>IF(E139=0,"","Q"&amp;INT(4*( RANK(E139, IF($E$2:$E$269&lt;&gt;0, $E$2:$E$269), 0) - 1 ) / COUNTIF($E$2:$E$269,"&gt;0")) + 1)</f>
        <v>Q2</v>
      </c>
      <c r="P139" t="str">
        <f>IF(F139=0,"","Q"&amp;INT(4*( RANK(F139, IF($F$2:$F$269&lt;&gt;0, $F$2:$F$269), 0) - 1 ) / COUNTIF($F$2:$F$269,"&gt;0")) + 1)</f>
        <v/>
      </c>
      <c r="Q139" t="str">
        <f>IF(G139=0,"","Q"&amp;INT(4*( RANK(G139, IF($G$2:$G$269&lt;&gt;0, $G$2:$G$269), 0) - 1 ) / COUNTIF($G$2:$G$269,"&gt;0")) + 1)</f>
        <v/>
      </c>
      <c r="R139" t="str">
        <f>IF(H139=0,"","Q"&amp;INT(4*( RANK(H139, IF($H$2:$H$269&lt;&gt;0, $H$2:$H$269), 0) - 1 ) / COUNTIF($H$2:$H$269,"&gt;0")) + 1)</f>
        <v/>
      </c>
      <c r="S139" t="str">
        <f>IF(I139=0,"","Q"&amp;INT(4*( RANK(I139, IF($I$2:$I$269&lt;&gt;0, $I$2:$I$269), 0) - 1 ) / COUNTIF($I$2:$I$269,"&gt;0")) + 1)</f>
        <v/>
      </c>
      <c r="T139" t="str">
        <f>IF(J139=0,"","Q"&amp;INT(4*( RANK(J139, IF($J$2:$J$269&lt;&gt;0, $J$2:$J$269), 0) - 1 ) / COUNTIF($J$2:$J$269,"&gt;0")) + 1)</f>
        <v/>
      </c>
      <c r="U139" t="str">
        <f>IF(K139=0,"","Q"&amp;INT(4*( RANK(K139, IF($K$2:$K$269&lt;&gt;0, $K$2:$K$269), 0) - 1 ) / COUNTIF($K$2:$K$269,"&gt;0")) + 1)</f>
        <v/>
      </c>
    </row>
    <row r="140" spans="1:21" x14ac:dyDescent="0.2">
      <c r="A140" t="s">
        <v>984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9.3023255813953404E-2</v>
      </c>
      <c r="K140" s="2">
        <v>0</v>
      </c>
      <c r="L140" t="str">
        <f>IF(B140=0,"","Q"&amp;INT(4*( RANK(B140, IF($B$2:$B$269&lt;&gt;0, $B$2:$B$269), 0) - 1 ) / COUNTIF($B$2:$B$269,"&gt;0")) + 1)</f>
        <v/>
      </c>
      <c r="M140" t="str">
        <f>IF(C140=0,"","Q"&amp;INT(4*( RANK(C140, IF($C$2:$C$269&lt;&gt;0, $C$2:$C$269), 0) - 1 ) / COUNTIF($C$2:$C$269,"&gt;0")) + 1)</f>
        <v/>
      </c>
      <c r="N140" t="str">
        <f>IF(D140=0,"","Q"&amp;INT(4*( RANK(D140, IF($D$2:$D$269&lt;&gt;0, $D$2:$D$269), 0) - 1 ) / COUNTIF($D$2:$D$269,"&gt;0")) + 1)</f>
        <v/>
      </c>
      <c r="O140" t="str">
        <f>IF(E140=0,"","Q"&amp;INT(4*( RANK(E140, IF($E$2:$E$269&lt;&gt;0, $E$2:$E$269), 0) - 1 ) / COUNTIF($E$2:$E$269,"&gt;0")) + 1)</f>
        <v/>
      </c>
      <c r="P140" t="str">
        <f>IF(F140=0,"","Q"&amp;INT(4*( RANK(F140, IF($F$2:$F$269&lt;&gt;0, $F$2:$F$269), 0) - 1 ) / COUNTIF($F$2:$F$269,"&gt;0")) + 1)</f>
        <v/>
      </c>
      <c r="Q140" t="str">
        <f>IF(G140=0,"","Q"&amp;INT(4*( RANK(G140, IF($G$2:$G$269&lt;&gt;0, $G$2:$G$269), 0) - 1 ) / COUNTIF($G$2:$G$269,"&gt;0")) + 1)</f>
        <v/>
      </c>
      <c r="R140" t="str">
        <f>IF(H140=0,"","Q"&amp;INT(4*( RANK(H140, IF($H$2:$H$269&lt;&gt;0, $H$2:$H$269), 0) - 1 ) / COUNTIF($H$2:$H$269,"&gt;0")) + 1)</f>
        <v/>
      </c>
      <c r="S140" t="str">
        <f>IF(I140=0,"","Q"&amp;INT(4*( RANK(I140, IF($I$2:$I$269&lt;&gt;0, $I$2:$I$269), 0) - 1 ) / COUNTIF($I$2:$I$269,"&gt;0")) + 1)</f>
        <v/>
      </c>
      <c r="T140" t="str">
        <f>IF(J140=0,"","Q"&amp;INT(4*( RANK(J140, IF($J$2:$J$269&lt;&gt;0, $J$2:$J$269), 0) - 1 ) / COUNTIF($J$2:$J$269,"&gt;0")) + 1)</f>
        <v>Q2</v>
      </c>
      <c r="U140" t="str">
        <f>IF(K140=0,"","Q"&amp;INT(4*( RANK(K140, IF($K$2:$K$269&lt;&gt;0, $K$2:$K$269), 0) - 1 ) / COUNTIF($K$2:$K$269,"&gt;0")) + 1)</f>
        <v/>
      </c>
    </row>
    <row r="141" spans="1:21" x14ac:dyDescent="0.2">
      <c r="A141" t="s">
        <v>1060</v>
      </c>
      <c r="B141" s="2">
        <v>0</v>
      </c>
      <c r="C141" s="2">
        <v>0</v>
      </c>
      <c r="D141" s="2">
        <v>0</v>
      </c>
      <c r="E141" s="2">
        <v>8.4033613445378096E-3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t="str">
        <f>IF(B141=0,"","Q"&amp;INT(4*( RANK(B141, IF($B$2:$B$269&lt;&gt;0, $B$2:$B$269), 0) - 1 ) / COUNTIF($B$2:$B$269,"&gt;0")) + 1)</f>
        <v/>
      </c>
      <c r="M141" t="str">
        <f>IF(C141=0,"","Q"&amp;INT(4*( RANK(C141, IF($C$2:$C$269&lt;&gt;0, $C$2:$C$269), 0) - 1 ) / COUNTIF($C$2:$C$269,"&gt;0")) + 1)</f>
        <v/>
      </c>
      <c r="N141" t="str">
        <f>IF(D141=0,"","Q"&amp;INT(4*( RANK(D141, IF($D$2:$D$269&lt;&gt;0, $D$2:$D$269), 0) - 1 ) / COUNTIF($D$2:$D$269,"&gt;0")) + 1)</f>
        <v/>
      </c>
      <c r="O141" t="str">
        <f>IF(E141=0,"","Q"&amp;INT(4*( RANK(E141, IF($E$2:$E$269&lt;&gt;0, $E$2:$E$269), 0) - 1 ) / COUNTIF($E$2:$E$269,"&gt;0")) + 1)</f>
        <v>Q3</v>
      </c>
      <c r="P141" t="str">
        <f>IF(F141=0,"","Q"&amp;INT(4*( RANK(F141, IF($F$2:$F$269&lt;&gt;0, $F$2:$F$269), 0) - 1 ) / COUNTIF($F$2:$F$269,"&gt;0")) + 1)</f>
        <v/>
      </c>
      <c r="Q141" t="str">
        <f>IF(G141=0,"","Q"&amp;INT(4*( RANK(G141, IF($G$2:$G$269&lt;&gt;0, $G$2:$G$269), 0) - 1 ) / COUNTIF($G$2:$G$269,"&gt;0")) + 1)</f>
        <v/>
      </c>
      <c r="R141" t="str">
        <f>IF(H141=0,"","Q"&amp;INT(4*( RANK(H141, IF($H$2:$H$269&lt;&gt;0, $H$2:$H$269), 0) - 1 ) / COUNTIF($H$2:$H$269,"&gt;0")) + 1)</f>
        <v/>
      </c>
      <c r="S141" t="str">
        <f>IF(I141=0,"","Q"&amp;INT(4*( RANK(I141, IF($I$2:$I$269&lt;&gt;0, $I$2:$I$269), 0) - 1 ) / COUNTIF($I$2:$I$269,"&gt;0")) + 1)</f>
        <v/>
      </c>
      <c r="T141" t="str">
        <f>IF(J141=0,"","Q"&amp;INT(4*( RANK(J141, IF($J$2:$J$269&lt;&gt;0, $J$2:$J$269), 0) - 1 ) / COUNTIF($J$2:$J$269,"&gt;0")) + 1)</f>
        <v/>
      </c>
      <c r="U141" t="str">
        <f>IF(K141=0,"","Q"&amp;INT(4*( RANK(K141, IF($K$2:$K$269&lt;&gt;0, $K$2:$K$269), 0) - 1 ) / COUNTIF($K$2:$K$269,"&gt;0")) + 1)</f>
        <v/>
      </c>
    </row>
    <row r="142" spans="1:21" x14ac:dyDescent="0.2">
      <c r="A142" t="s">
        <v>215</v>
      </c>
      <c r="B142" s="2">
        <v>0</v>
      </c>
      <c r="C142" s="2">
        <v>0</v>
      </c>
      <c r="D142" s="2">
        <v>0</v>
      </c>
      <c r="E142" s="2">
        <v>4.2016806722688996E-3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t="str">
        <f>IF(B142=0,"","Q"&amp;INT(4*( RANK(B142, IF($B$2:$B$269&lt;&gt;0, $B$2:$B$269), 0) - 1 ) / COUNTIF($B$2:$B$269,"&gt;0")) + 1)</f>
        <v/>
      </c>
      <c r="M142" t="str">
        <f>IF(C142=0,"","Q"&amp;INT(4*( RANK(C142, IF($C$2:$C$269&lt;&gt;0, $C$2:$C$269), 0) - 1 ) / COUNTIF($C$2:$C$269,"&gt;0")) + 1)</f>
        <v/>
      </c>
      <c r="N142" t="str">
        <f>IF(D142=0,"","Q"&amp;INT(4*( RANK(D142, IF($D$2:$D$269&lt;&gt;0, $D$2:$D$269), 0) - 1 ) / COUNTIF($D$2:$D$269,"&gt;0")) + 1)</f>
        <v/>
      </c>
      <c r="O142" t="str">
        <f>IF(E142=0,"","Q"&amp;INT(4*( RANK(E142, IF($E$2:$E$269&lt;&gt;0, $E$2:$E$269), 0) - 1 ) / COUNTIF($E$2:$E$269,"&gt;0")) + 1)</f>
        <v>Q4</v>
      </c>
      <c r="P142" t="str">
        <f>IF(F142=0,"","Q"&amp;INT(4*( RANK(F142, IF($F$2:$F$269&lt;&gt;0, $F$2:$F$269), 0) - 1 ) / COUNTIF($F$2:$F$269,"&gt;0")) + 1)</f>
        <v/>
      </c>
      <c r="Q142" t="str">
        <f>IF(G142=0,"","Q"&amp;INT(4*( RANK(G142, IF($G$2:$G$269&lt;&gt;0, $G$2:$G$269), 0) - 1 ) / COUNTIF($G$2:$G$269,"&gt;0")) + 1)</f>
        <v/>
      </c>
      <c r="R142" t="str">
        <f>IF(H142=0,"","Q"&amp;INT(4*( RANK(H142, IF($H$2:$H$269&lt;&gt;0, $H$2:$H$269), 0) - 1 ) / COUNTIF($H$2:$H$269,"&gt;0")) + 1)</f>
        <v/>
      </c>
      <c r="S142" t="str">
        <f>IF(I142=0,"","Q"&amp;INT(4*( RANK(I142, IF($I$2:$I$269&lt;&gt;0, $I$2:$I$269), 0) - 1 ) / COUNTIF($I$2:$I$269,"&gt;0")) + 1)</f>
        <v/>
      </c>
      <c r="T142" t="str">
        <f>IF(J142=0,"","Q"&amp;INT(4*( RANK(J142, IF($J$2:$J$269&lt;&gt;0, $J$2:$J$269), 0) - 1 ) / COUNTIF($J$2:$J$269,"&gt;0")) + 1)</f>
        <v/>
      </c>
      <c r="U142" t="str">
        <f>IF(K142=0,"","Q"&amp;INT(4*( RANK(K142, IF($K$2:$K$269&lt;&gt;0, $K$2:$K$269), 0) - 1 ) / COUNTIF($K$2:$K$269,"&gt;0")) + 1)</f>
        <v/>
      </c>
    </row>
    <row r="143" spans="1:21" x14ac:dyDescent="0.2">
      <c r="A143" s="8" t="s">
        <v>217</v>
      </c>
      <c r="B143" s="2">
        <v>0</v>
      </c>
      <c r="C143" s="2">
        <v>0</v>
      </c>
      <c r="D143" s="2">
        <v>0</v>
      </c>
      <c r="E143" s="2">
        <v>1.2E-2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t="str">
        <f>IF(B143=0,"","Q"&amp;INT(4*( RANK(B143, IF($B$2:$B$269&lt;&gt;0, $B$2:$B$269), 0) - 1 ) / COUNTIF($B$2:$B$269,"&gt;0")) + 1)</f>
        <v/>
      </c>
      <c r="M143" t="str">
        <f>IF(C143=0,"","Q"&amp;INT(4*( RANK(C143, IF($C$2:$C$269&lt;&gt;0, $C$2:$C$269), 0) - 1 ) / COUNTIF($C$2:$C$269,"&gt;0")) + 1)</f>
        <v/>
      </c>
      <c r="N143" t="str">
        <f>IF(D143=0,"","Q"&amp;INT(4*( RANK(D143, IF($D$2:$D$269&lt;&gt;0, $D$2:$D$269), 0) - 1 ) / COUNTIF($D$2:$D$269,"&gt;0")) + 1)</f>
        <v/>
      </c>
      <c r="O143" t="str">
        <f>IF(E143=0,"","Q"&amp;INT(4*( RANK(E143, IF($E$2:$E$269&lt;&gt;0, $E$2:$E$269), 0) - 1 ) / COUNTIF($E$2:$E$269,"&gt;0")) + 1)</f>
        <v>Q3</v>
      </c>
      <c r="P143" t="str">
        <f>IF(F143=0,"","Q"&amp;INT(4*( RANK(F143, IF($F$2:$F$269&lt;&gt;0, $F$2:$F$269), 0) - 1 ) / COUNTIF($F$2:$F$269,"&gt;0")) + 1)</f>
        <v/>
      </c>
      <c r="Q143" t="str">
        <f>IF(G143=0,"","Q"&amp;INT(4*( RANK(G143, IF($G$2:$G$269&lt;&gt;0, $G$2:$G$269), 0) - 1 ) / COUNTIF($G$2:$G$269,"&gt;0")) + 1)</f>
        <v/>
      </c>
      <c r="R143" t="str">
        <f>IF(H143=0,"","Q"&amp;INT(4*( RANK(H143, IF($H$2:$H$269&lt;&gt;0, $H$2:$H$269), 0) - 1 ) / COUNTIF($H$2:$H$269,"&gt;0")) + 1)</f>
        <v/>
      </c>
      <c r="S143" t="str">
        <f>IF(I143=0,"","Q"&amp;INT(4*( RANK(I143, IF($I$2:$I$269&lt;&gt;0, $I$2:$I$269), 0) - 1 ) / COUNTIF($I$2:$I$269,"&gt;0")) + 1)</f>
        <v/>
      </c>
      <c r="T143" t="str">
        <f>IF(J143=0,"","Q"&amp;INT(4*( RANK(J143, IF($J$2:$J$269&lt;&gt;0, $J$2:$J$269), 0) - 1 ) / COUNTIF($J$2:$J$269,"&gt;0")) + 1)</f>
        <v/>
      </c>
      <c r="U143" t="str">
        <f>IF(K143=0,"","Q"&amp;INT(4*( RANK(K143, IF($K$2:$K$269&lt;&gt;0, $K$2:$K$269), 0) - 1 ) / COUNTIF($K$2:$K$269,"&gt;0")) + 1)</f>
        <v/>
      </c>
    </row>
    <row r="144" spans="1:21" x14ac:dyDescent="0.2">
      <c r="A144" s="8" t="s">
        <v>220</v>
      </c>
      <c r="B144" s="2">
        <v>0</v>
      </c>
      <c r="C144" s="2">
        <v>0.2</v>
      </c>
      <c r="D144" s="2">
        <v>9.5238095238095205E-2</v>
      </c>
      <c r="E144" s="2">
        <v>1.7000000000000001E-2</v>
      </c>
      <c r="F144" s="2">
        <v>0</v>
      </c>
      <c r="G144" s="2">
        <v>1</v>
      </c>
      <c r="H144" s="2">
        <v>0</v>
      </c>
      <c r="I144" s="2">
        <v>0</v>
      </c>
      <c r="J144" s="2">
        <v>6.9767441860465101E-2</v>
      </c>
      <c r="K144" s="2">
        <v>0.11764705882352899</v>
      </c>
      <c r="L144" t="str">
        <f>IF(B144=0,"","Q"&amp;INT(4*( RANK(B144, IF($B$2:$B$269&lt;&gt;0, $B$2:$B$269), 0) - 1 ) / COUNTIF($B$2:$B$269,"&gt;0")) + 1)</f>
        <v/>
      </c>
      <c r="M144" t="str">
        <f>IF(C144=0,"","Q"&amp;INT(4*( RANK(C144, IF($C$2:$C$269&lt;&gt;0, $C$2:$C$269), 0) - 1 ) / COUNTIF($C$2:$C$269,"&gt;0")) + 1)</f>
        <v>Q3</v>
      </c>
      <c r="N144" t="str">
        <f>IF(D144=0,"","Q"&amp;INT(4*( RANK(D144, IF($D$2:$D$269&lt;&gt;0, $D$2:$D$269), 0) - 1 ) / COUNTIF($D$2:$D$269,"&gt;0")) + 1)</f>
        <v>Q3</v>
      </c>
      <c r="O144" t="str">
        <f>IF(E144=0,"","Q"&amp;INT(4*( RANK(E144, IF($E$2:$E$269&lt;&gt;0, $E$2:$E$269), 0) - 1 ) / COUNTIF($E$2:$E$269,"&gt;0")) + 1)</f>
        <v>Q2</v>
      </c>
      <c r="P144" t="str">
        <f>IF(F144=0,"","Q"&amp;INT(4*( RANK(F144, IF($F$2:$F$269&lt;&gt;0, $F$2:$F$269), 0) - 1 ) / COUNTIF($F$2:$F$269,"&gt;0")) + 1)</f>
        <v/>
      </c>
      <c r="Q144" t="str">
        <f>IF(G144=0,"","Q"&amp;INT(4*( RANK(G144, IF($G$2:$G$269&lt;&gt;0, $G$2:$G$269), 0) - 1 ) / COUNTIF($G$2:$G$269,"&gt;0")) + 1)</f>
        <v>Q1</v>
      </c>
      <c r="R144" t="str">
        <f>IF(H144=0,"","Q"&amp;INT(4*( RANK(H144, IF($H$2:$H$269&lt;&gt;0, $H$2:$H$269), 0) - 1 ) / COUNTIF($H$2:$H$269,"&gt;0")) + 1)</f>
        <v/>
      </c>
      <c r="S144" t="str">
        <f>IF(I144=0,"","Q"&amp;INT(4*( RANK(I144, IF($I$2:$I$269&lt;&gt;0, $I$2:$I$269), 0) - 1 ) / COUNTIF($I$2:$I$269,"&gt;0")) + 1)</f>
        <v/>
      </c>
      <c r="T144" t="str">
        <f>IF(J144=0,"","Q"&amp;INT(4*( RANK(J144, IF($J$2:$J$269&lt;&gt;0, $J$2:$J$269), 0) - 1 ) / COUNTIF($J$2:$J$269,"&gt;0")) + 1)</f>
        <v>Q3</v>
      </c>
      <c r="U144" t="str">
        <f>IF(K144=0,"","Q"&amp;INT(4*( RANK(K144, IF($K$2:$K$269&lt;&gt;0, $K$2:$K$269), 0) - 1 ) / COUNTIF($K$2:$K$269,"&gt;0")) + 1)</f>
        <v>Q4</v>
      </c>
    </row>
    <row r="145" spans="1:21" x14ac:dyDescent="0.2">
      <c r="A145" t="s">
        <v>219</v>
      </c>
      <c r="B145" s="2">
        <v>0</v>
      </c>
      <c r="C145" s="2">
        <v>0</v>
      </c>
      <c r="D145" s="2">
        <v>0</v>
      </c>
      <c r="E145" s="2">
        <v>1.26050420168067E-2</v>
      </c>
      <c r="F145" s="2">
        <v>7.69230769230769E-2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t="str">
        <f>IF(B145=0,"","Q"&amp;INT(4*( RANK(B145, IF($B$2:$B$269&lt;&gt;0, $B$2:$B$269), 0) - 1 ) / COUNTIF($B$2:$B$269,"&gt;0")) + 1)</f>
        <v/>
      </c>
      <c r="M145" t="str">
        <f>IF(C145=0,"","Q"&amp;INT(4*( RANK(C145, IF($C$2:$C$269&lt;&gt;0, $C$2:$C$269), 0) - 1 ) / COUNTIF($C$2:$C$269,"&gt;0")) + 1)</f>
        <v/>
      </c>
      <c r="N145" t="str">
        <f>IF(D145=0,"","Q"&amp;INT(4*( RANK(D145, IF($D$2:$D$269&lt;&gt;0, $D$2:$D$269), 0) - 1 ) / COUNTIF($D$2:$D$269,"&gt;0")) + 1)</f>
        <v/>
      </c>
      <c r="O145" t="str">
        <f>IF(E145=0,"","Q"&amp;INT(4*( RANK(E145, IF($E$2:$E$269&lt;&gt;0, $E$2:$E$269), 0) - 1 ) / COUNTIF($E$2:$E$269,"&gt;0")) + 1)</f>
        <v>Q2</v>
      </c>
      <c r="P145" t="str">
        <f>IF(F145=0,"","Q"&amp;INT(4*( RANK(F145, IF($F$2:$F$269&lt;&gt;0, $F$2:$F$269), 0) - 1 ) / COUNTIF($F$2:$F$269,"&gt;0")) + 1)</f>
        <v>Q3</v>
      </c>
      <c r="Q145" t="str">
        <f>IF(G145=0,"","Q"&amp;INT(4*( RANK(G145, IF($G$2:$G$269&lt;&gt;0, $G$2:$G$269), 0) - 1 ) / COUNTIF($G$2:$G$269,"&gt;0")) + 1)</f>
        <v/>
      </c>
      <c r="R145" t="str">
        <f>IF(H145=0,"","Q"&amp;INT(4*( RANK(H145, IF($H$2:$H$269&lt;&gt;0, $H$2:$H$269), 0) - 1 ) / COUNTIF($H$2:$H$269,"&gt;0")) + 1)</f>
        <v/>
      </c>
      <c r="S145" t="str">
        <f>IF(I145=0,"","Q"&amp;INT(4*( RANK(I145, IF($I$2:$I$269&lt;&gt;0, $I$2:$I$269), 0) - 1 ) / COUNTIF($I$2:$I$269,"&gt;0")) + 1)</f>
        <v/>
      </c>
      <c r="T145" t="str">
        <f>IF(J145=0,"","Q"&amp;INT(4*( RANK(J145, IF($J$2:$J$269&lt;&gt;0, $J$2:$J$269), 0) - 1 ) / COUNTIF($J$2:$J$269,"&gt;0")) + 1)</f>
        <v/>
      </c>
      <c r="U145" t="str">
        <f>IF(K145=0,"","Q"&amp;INT(4*( RANK(K145, IF($K$2:$K$269&lt;&gt;0, $K$2:$K$269), 0) - 1 ) / COUNTIF($K$2:$K$269,"&gt;0")) + 1)</f>
        <v/>
      </c>
    </row>
    <row r="146" spans="1:21" x14ac:dyDescent="0.2">
      <c r="A146" t="s">
        <v>985</v>
      </c>
      <c r="B146" s="2">
        <v>0.8</v>
      </c>
      <c r="C146" s="2">
        <v>0.7</v>
      </c>
      <c r="D146" s="2">
        <v>0</v>
      </c>
      <c r="E146" s="2">
        <v>8.8235294117646995E-2</v>
      </c>
      <c r="F146" s="2">
        <v>0</v>
      </c>
      <c r="G146" s="2">
        <v>0</v>
      </c>
      <c r="H146" s="2">
        <v>0.33333333333333298</v>
      </c>
      <c r="I146" s="2">
        <v>0</v>
      </c>
      <c r="J146" s="2">
        <v>0</v>
      </c>
      <c r="K146" s="2">
        <v>0</v>
      </c>
      <c r="L146" t="str">
        <f>IF(B146=0,"","Q"&amp;INT(4*( RANK(B146, IF($B$2:$B$269&lt;&gt;0, $B$2:$B$269), 0) - 1 ) / COUNTIF($B$2:$B$269,"&gt;0")) + 1)</f>
        <v>Q2</v>
      </c>
      <c r="M146" t="str">
        <f>IF(C146=0,"","Q"&amp;INT(4*( RANK(C146, IF($C$2:$C$269&lt;&gt;0, $C$2:$C$269), 0) - 1 ) / COUNTIF($C$2:$C$269,"&gt;0")) + 1)</f>
        <v>Q1</v>
      </c>
      <c r="N146" t="str">
        <f>IF(D146=0,"","Q"&amp;INT(4*( RANK(D146, IF($D$2:$D$269&lt;&gt;0, $D$2:$D$269), 0) - 1 ) / COUNTIF($D$2:$D$269,"&gt;0")) + 1)</f>
        <v/>
      </c>
      <c r="O146" t="str">
        <f>IF(E146=0,"","Q"&amp;INT(4*( RANK(E146, IF($E$2:$E$269&lt;&gt;0, $E$2:$E$269), 0) - 1 ) / COUNTIF($E$2:$E$269,"&gt;0")) + 1)</f>
        <v>Q1</v>
      </c>
      <c r="P146" t="str">
        <f>IF(F146=0,"","Q"&amp;INT(4*( RANK(F146, IF($F$2:$F$269&lt;&gt;0, $F$2:$F$269), 0) - 1 ) / COUNTIF($F$2:$F$269,"&gt;0")) + 1)</f>
        <v/>
      </c>
      <c r="Q146" t="str">
        <f>IF(G146=0,"","Q"&amp;INT(4*( RANK(G146, IF($G$2:$G$269&lt;&gt;0, $G$2:$G$269), 0) - 1 ) / COUNTIF($G$2:$G$269,"&gt;0")) + 1)</f>
        <v/>
      </c>
      <c r="R146" t="str">
        <f>IF(H146=0,"","Q"&amp;INT(4*( RANK(H146, IF($H$2:$H$269&lt;&gt;0, $H$2:$H$269), 0) - 1 ) / COUNTIF($H$2:$H$269,"&gt;0")) + 1)</f>
        <v>Q2</v>
      </c>
      <c r="S146" t="str">
        <f>IF(I146=0,"","Q"&amp;INT(4*( RANK(I146, IF($I$2:$I$269&lt;&gt;0, $I$2:$I$269), 0) - 1 ) / COUNTIF($I$2:$I$269,"&gt;0")) + 1)</f>
        <v/>
      </c>
      <c r="T146" t="str">
        <f>IF(J146=0,"","Q"&amp;INT(4*( RANK(J146, IF($J$2:$J$269&lt;&gt;0, $J$2:$J$269), 0) - 1 ) / COUNTIF($J$2:$J$269,"&gt;0")) + 1)</f>
        <v/>
      </c>
      <c r="U146" t="str">
        <f>IF(K146=0,"","Q"&amp;INT(4*( RANK(K146, IF($K$2:$K$269&lt;&gt;0, $K$2:$K$269), 0) - 1 ) / COUNTIF($K$2:$K$269,"&gt;0")) + 1)</f>
        <v/>
      </c>
    </row>
    <row r="147" spans="1:21" x14ac:dyDescent="0.2">
      <c r="A147" t="s">
        <v>1061</v>
      </c>
      <c r="B147" s="2">
        <v>0</v>
      </c>
      <c r="C147" s="2">
        <v>0</v>
      </c>
      <c r="D147" s="2">
        <v>0</v>
      </c>
      <c r="E147" s="2">
        <v>0</v>
      </c>
      <c r="F147" s="2">
        <v>0.15384615384615299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t="str">
        <f>IF(B147=0,"","Q"&amp;INT(4*( RANK(B147, IF($B$2:$B$269&lt;&gt;0, $B$2:$B$269), 0) - 1 ) / COUNTIF($B$2:$B$269,"&gt;0")) + 1)</f>
        <v/>
      </c>
      <c r="M147" t="str">
        <f>IF(C147=0,"","Q"&amp;INT(4*( RANK(C147, IF($C$2:$C$269&lt;&gt;0, $C$2:$C$269), 0) - 1 ) / COUNTIF($C$2:$C$269,"&gt;0")) + 1)</f>
        <v/>
      </c>
      <c r="N147" t="str">
        <f>IF(D147=0,"","Q"&amp;INT(4*( RANK(D147, IF($D$2:$D$269&lt;&gt;0, $D$2:$D$269), 0) - 1 ) / COUNTIF($D$2:$D$269,"&gt;0")) + 1)</f>
        <v/>
      </c>
      <c r="O147" t="str">
        <f>IF(E147=0,"","Q"&amp;INT(4*( RANK(E147, IF($E$2:$E$269&lt;&gt;0, $E$2:$E$269), 0) - 1 ) / COUNTIF($E$2:$E$269,"&gt;0")) + 1)</f>
        <v/>
      </c>
      <c r="P147" t="str">
        <f>IF(F147=0,"","Q"&amp;INT(4*( RANK(F147, IF($F$2:$F$269&lt;&gt;0, $F$2:$F$269), 0) - 1 ) / COUNTIF($F$2:$F$269,"&gt;0")) + 1)</f>
        <v>Q1</v>
      </c>
      <c r="Q147" t="str">
        <f>IF(G147=0,"","Q"&amp;INT(4*( RANK(G147, IF($G$2:$G$269&lt;&gt;0, $G$2:$G$269), 0) - 1 ) / COUNTIF($G$2:$G$269,"&gt;0")) + 1)</f>
        <v/>
      </c>
      <c r="R147" t="str">
        <f>IF(H147=0,"","Q"&amp;INT(4*( RANK(H147, IF($H$2:$H$269&lt;&gt;0, $H$2:$H$269), 0) - 1 ) / COUNTIF($H$2:$H$269,"&gt;0")) + 1)</f>
        <v/>
      </c>
      <c r="S147" t="str">
        <f>IF(I147=0,"","Q"&amp;INT(4*( RANK(I147, IF($I$2:$I$269&lt;&gt;0, $I$2:$I$269), 0) - 1 ) / COUNTIF($I$2:$I$269,"&gt;0")) + 1)</f>
        <v/>
      </c>
      <c r="T147" t="str">
        <f>IF(J147=0,"","Q"&amp;INT(4*( RANK(J147, IF($J$2:$J$269&lt;&gt;0, $J$2:$J$269), 0) - 1 ) / COUNTIF($J$2:$J$269,"&gt;0")) + 1)</f>
        <v/>
      </c>
      <c r="U147" t="str">
        <f>IF(K147=0,"","Q"&amp;INT(4*( RANK(K147, IF($K$2:$K$269&lt;&gt;0, $K$2:$K$269), 0) - 1 ) / COUNTIF($K$2:$K$269,"&gt;0")) + 1)</f>
        <v/>
      </c>
    </row>
    <row r="148" spans="1:21" x14ac:dyDescent="0.2">
      <c r="A148" t="s">
        <v>223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4.6511627906976702E-2</v>
      </c>
      <c r="K148" s="2">
        <v>0</v>
      </c>
      <c r="L148" t="str">
        <f>IF(B148=0,"","Q"&amp;INT(4*( RANK(B148, IF($B$2:$B$269&lt;&gt;0, $B$2:$B$269), 0) - 1 ) / COUNTIF($B$2:$B$269,"&gt;0")) + 1)</f>
        <v/>
      </c>
      <c r="M148" t="str">
        <f>IF(C148=0,"","Q"&amp;INT(4*( RANK(C148, IF($C$2:$C$269&lt;&gt;0, $C$2:$C$269), 0) - 1 ) / COUNTIF($C$2:$C$269,"&gt;0")) + 1)</f>
        <v/>
      </c>
      <c r="N148" t="str">
        <f>IF(D148=0,"","Q"&amp;INT(4*( RANK(D148, IF($D$2:$D$269&lt;&gt;0, $D$2:$D$269), 0) - 1 ) / COUNTIF($D$2:$D$269,"&gt;0")) + 1)</f>
        <v/>
      </c>
      <c r="O148" t="str">
        <f>IF(E148=0,"","Q"&amp;INT(4*( RANK(E148, IF($E$2:$E$269&lt;&gt;0, $E$2:$E$269), 0) - 1 ) / COUNTIF($E$2:$E$269,"&gt;0")) + 1)</f>
        <v/>
      </c>
      <c r="P148" t="str">
        <f>IF(F148=0,"","Q"&amp;INT(4*( RANK(F148, IF($F$2:$F$269&lt;&gt;0, $F$2:$F$269), 0) - 1 ) / COUNTIF($F$2:$F$269,"&gt;0")) + 1)</f>
        <v/>
      </c>
      <c r="Q148" t="str">
        <f>IF(G148=0,"","Q"&amp;INT(4*( RANK(G148, IF($G$2:$G$269&lt;&gt;0, $G$2:$G$269), 0) - 1 ) / COUNTIF($G$2:$G$269,"&gt;0")) + 1)</f>
        <v/>
      </c>
      <c r="R148" t="str">
        <f>IF(H148=0,"","Q"&amp;INT(4*( RANK(H148, IF($H$2:$H$269&lt;&gt;0, $H$2:$H$269), 0) - 1 ) / COUNTIF($H$2:$H$269,"&gt;0")) + 1)</f>
        <v/>
      </c>
      <c r="S148" t="str">
        <f>IF(I148=0,"","Q"&amp;INT(4*( RANK(I148, IF($I$2:$I$269&lt;&gt;0, $I$2:$I$269), 0) - 1 ) / COUNTIF($I$2:$I$269,"&gt;0")) + 1)</f>
        <v/>
      </c>
      <c r="T148" t="str">
        <f>IF(J148=0,"","Q"&amp;INT(4*( RANK(J148, IF($J$2:$J$269&lt;&gt;0, $J$2:$J$269), 0) - 1 ) / COUNTIF($J$2:$J$269,"&gt;0")) + 1)</f>
        <v>Q4</v>
      </c>
      <c r="U148" t="str">
        <f>IF(K148=0,"","Q"&amp;INT(4*( RANK(K148, IF($K$2:$K$269&lt;&gt;0, $K$2:$K$269), 0) - 1 ) / COUNTIF($K$2:$K$269,"&gt;0")) + 1)</f>
        <v/>
      </c>
    </row>
    <row r="149" spans="1:21" x14ac:dyDescent="0.2">
      <c r="A149" t="s">
        <v>986</v>
      </c>
      <c r="B149" s="2">
        <v>0</v>
      </c>
      <c r="C149" s="2">
        <v>0</v>
      </c>
      <c r="D149" s="2">
        <v>0</v>
      </c>
      <c r="E149" s="2">
        <v>2.5210084033613401E-2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t="str">
        <f>IF(B149=0,"","Q"&amp;INT(4*( RANK(B149, IF($B$2:$B$269&lt;&gt;0, $B$2:$B$269), 0) - 1 ) / COUNTIF($B$2:$B$269,"&gt;0")) + 1)</f>
        <v/>
      </c>
      <c r="M149" t="str">
        <f>IF(C149=0,"","Q"&amp;INT(4*( RANK(C149, IF($C$2:$C$269&lt;&gt;0, $C$2:$C$269), 0) - 1 ) / COUNTIF($C$2:$C$269,"&gt;0")) + 1)</f>
        <v/>
      </c>
      <c r="N149" t="str">
        <f>IF(D149=0,"","Q"&amp;INT(4*( RANK(D149, IF($D$2:$D$269&lt;&gt;0, $D$2:$D$269), 0) - 1 ) / COUNTIF($D$2:$D$269,"&gt;0")) + 1)</f>
        <v/>
      </c>
      <c r="O149" t="str">
        <f>IF(E149=0,"","Q"&amp;INT(4*( RANK(E149, IF($E$2:$E$269&lt;&gt;0, $E$2:$E$269), 0) - 1 ) / COUNTIF($E$2:$E$269,"&gt;0")) + 1)</f>
        <v>Q1</v>
      </c>
      <c r="P149" t="str">
        <f>IF(F149=0,"","Q"&amp;INT(4*( RANK(F149, IF($F$2:$F$269&lt;&gt;0, $F$2:$F$269), 0) - 1 ) / COUNTIF($F$2:$F$269,"&gt;0")) + 1)</f>
        <v/>
      </c>
      <c r="Q149" t="str">
        <f>IF(G149=0,"","Q"&amp;INT(4*( RANK(G149, IF($G$2:$G$269&lt;&gt;0, $G$2:$G$269), 0) - 1 ) / COUNTIF($G$2:$G$269,"&gt;0")) + 1)</f>
        <v/>
      </c>
      <c r="R149" t="str">
        <f>IF(H149=0,"","Q"&amp;INT(4*( RANK(H149, IF($H$2:$H$269&lt;&gt;0, $H$2:$H$269), 0) - 1 ) / COUNTIF($H$2:$H$269,"&gt;0")) + 1)</f>
        <v/>
      </c>
      <c r="S149" t="str">
        <f>IF(I149=0,"","Q"&amp;INT(4*( RANK(I149, IF($I$2:$I$269&lt;&gt;0, $I$2:$I$269), 0) - 1 ) / COUNTIF($I$2:$I$269,"&gt;0")) + 1)</f>
        <v/>
      </c>
      <c r="T149" t="str">
        <f>IF(J149=0,"","Q"&amp;INT(4*( RANK(J149, IF($J$2:$J$269&lt;&gt;0, $J$2:$J$269), 0) - 1 ) / COUNTIF($J$2:$J$269,"&gt;0")) + 1)</f>
        <v/>
      </c>
      <c r="U149" t="str">
        <f>IF(K149=0,"","Q"&amp;INT(4*( RANK(K149, IF($K$2:$K$269&lt;&gt;0, $K$2:$K$269), 0) - 1 ) / COUNTIF($K$2:$K$269,"&gt;0")) + 1)</f>
        <v/>
      </c>
    </row>
    <row r="150" spans="1:21" x14ac:dyDescent="0.2">
      <c r="A150" t="s">
        <v>987</v>
      </c>
      <c r="B150" s="2">
        <v>0</v>
      </c>
      <c r="C150" s="2">
        <v>0</v>
      </c>
      <c r="D150" s="2">
        <v>0</v>
      </c>
      <c r="E150" s="2">
        <v>8.4033613445378096E-3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t="str">
        <f>IF(B150=0,"","Q"&amp;INT(4*( RANK(B150, IF($B$2:$B$269&lt;&gt;0, $B$2:$B$269), 0) - 1 ) / COUNTIF($B$2:$B$269,"&gt;0")) + 1)</f>
        <v/>
      </c>
      <c r="M150" t="str">
        <f>IF(C150=0,"","Q"&amp;INT(4*( RANK(C150, IF($C$2:$C$269&lt;&gt;0, $C$2:$C$269), 0) - 1 ) / COUNTIF($C$2:$C$269,"&gt;0")) + 1)</f>
        <v/>
      </c>
      <c r="N150" t="str">
        <f>IF(D150=0,"","Q"&amp;INT(4*( RANK(D150, IF($D$2:$D$269&lt;&gt;0, $D$2:$D$269), 0) - 1 ) / COUNTIF($D$2:$D$269,"&gt;0")) + 1)</f>
        <v/>
      </c>
      <c r="O150" t="str">
        <f>IF(E150=0,"","Q"&amp;INT(4*( RANK(E150, IF($E$2:$E$269&lt;&gt;0, $E$2:$E$269), 0) - 1 ) / COUNTIF($E$2:$E$269,"&gt;0")) + 1)</f>
        <v>Q3</v>
      </c>
      <c r="P150" t="str">
        <f>IF(F150=0,"","Q"&amp;INT(4*( RANK(F150, IF($F$2:$F$269&lt;&gt;0, $F$2:$F$269), 0) - 1 ) / COUNTIF($F$2:$F$269,"&gt;0")) + 1)</f>
        <v/>
      </c>
      <c r="Q150" t="str">
        <f>IF(G150=0,"","Q"&amp;INT(4*( RANK(G150, IF($G$2:$G$269&lt;&gt;0, $G$2:$G$269), 0) - 1 ) / COUNTIF($G$2:$G$269,"&gt;0")) + 1)</f>
        <v/>
      </c>
      <c r="R150" t="str">
        <f>IF(H150=0,"","Q"&amp;INT(4*( RANK(H150, IF($H$2:$H$269&lt;&gt;0, $H$2:$H$269), 0) - 1 ) / COUNTIF($H$2:$H$269,"&gt;0")) + 1)</f>
        <v/>
      </c>
      <c r="S150" t="str">
        <f>IF(I150=0,"","Q"&amp;INT(4*( RANK(I150, IF($I$2:$I$269&lt;&gt;0, $I$2:$I$269), 0) - 1 ) / COUNTIF($I$2:$I$269,"&gt;0")) + 1)</f>
        <v/>
      </c>
      <c r="T150" t="str">
        <f>IF(J150=0,"","Q"&amp;INT(4*( RANK(J150, IF($J$2:$J$269&lt;&gt;0, $J$2:$J$269), 0) - 1 ) / COUNTIF($J$2:$J$269,"&gt;0")) + 1)</f>
        <v/>
      </c>
      <c r="U150" t="str">
        <f>IF(K150=0,"","Q"&amp;INT(4*( RANK(K150, IF($K$2:$K$269&lt;&gt;0, $K$2:$K$269), 0) - 1 ) / COUNTIF($K$2:$K$269,"&gt;0")) + 1)</f>
        <v/>
      </c>
    </row>
    <row r="151" spans="1:21" x14ac:dyDescent="0.2">
      <c r="A151" t="s">
        <v>988</v>
      </c>
      <c r="B151" s="2">
        <v>0</v>
      </c>
      <c r="C151" s="2">
        <v>0</v>
      </c>
      <c r="D151" s="2">
        <v>9.5238095238095205E-2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t="str">
        <f>IF(B151=0,"","Q"&amp;INT(4*( RANK(B151, IF($B$2:$B$269&lt;&gt;0, $B$2:$B$269), 0) - 1 ) / COUNTIF($B$2:$B$269,"&gt;0")) + 1)</f>
        <v/>
      </c>
      <c r="M151" t="str">
        <f>IF(C151=0,"","Q"&amp;INT(4*( RANK(C151, IF($C$2:$C$269&lt;&gt;0, $C$2:$C$269), 0) - 1 ) / COUNTIF($C$2:$C$269,"&gt;0")) + 1)</f>
        <v/>
      </c>
      <c r="N151" t="str">
        <f>IF(D151=0,"","Q"&amp;INT(4*( RANK(D151, IF($D$2:$D$269&lt;&gt;0, $D$2:$D$269), 0) - 1 ) / COUNTIF($D$2:$D$269,"&gt;0")) + 1)</f>
        <v>Q3</v>
      </c>
      <c r="O151" t="str">
        <f>IF(E151=0,"","Q"&amp;INT(4*( RANK(E151, IF($E$2:$E$269&lt;&gt;0, $E$2:$E$269), 0) - 1 ) / COUNTIF($E$2:$E$269,"&gt;0")) + 1)</f>
        <v/>
      </c>
      <c r="P151" t="str">
        <f>IF(F151=0,"","Q"&amp;INT(4*( RANK(F151, IF($F$2:$F$269&lt;&gt;0, $F$2:$F$269), 0) - 1 ) / COUNTIF($F$2:$F$269,"&gt;0")) + 1)</f>
        <v/>
      </c>
      <c r="Q151" t="str">
        <f>IF(G151=0,"","Q"&amp;INT(4*( RANK(G151, IF($G$2:$G$269&lt;&gt;0, $G$2:$G$269), 0) - 1 ) / COUNTIF($G$2:$G$269,"&gt;0")) + 1)</f>
        <v/>
      </c>
      <c r="R151" t="str">
        <f>IF(H151=0,"","Q"&amp;INT(4*( RANK(H151, IF($H$2:$H$269&lt;&gt;0, $H$2:$H$269), 0) - 1 ) / COUNTIF($H$2:$H$269,"&gt;0")) + 1)</f>
        <v/>
      </c>
      <c r="S151" t="str">
        <f>IF(I151=0,"","Q"&amp;INT(4*( RANK(I151, IF($I$2:$I$269&lt;&gt;0, $I$2:$I$269), 0) - 1 ) / COUNTIF($I$2:$I$269,"&gt;0")) + 1)</f>
        <v/>
      </c>
      <c r="T151" t="str">
        <f>IF(J151=0,"","Q"&amp;INT(4*( RANK(J151, IF($J$2:$J$269&lt;&gt;0, $J$2:$J$269), 0) - 1 ) / COUNTIF($J$2:$J$269,"&gt;0")) + 1)</f>
        <v/>
      </c>
      <c r="U151" t="str">
        <f>IF(K151=0,"","Q"&amp;INT(4*( RANK(K151, IF($K$2:$K$269&lt;&gt;0, $K$2:$K$269), 0) - 1 ) / COUNTIF($K$2:$K$269,"&gt;0")) + 1)</f>
        <v/>
      </c>
    </row>
    <row r="152" spans="1:21" x14ac:dyDescent="0.2">
      <c r="A152" t="s">
        <v>1062</v>
      </c>
      <c r="B152" s="2">
        <v>0</v>
      </c>
      <c r="C152" s="2">
        <v>0</v>
      </c>
      <c r="D152" s="2">
        <v>0</v>
      </c>
      <c r="E152" s="2">
        <v>8.4033613445378096E-3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t="str">
        <f>IF(B152=0,"","Q"&amp;INT(4*( RANK(B152, IF($B$2:$B$269&lt;&gt;0, $B$2:$B$269), 0) - 1 ) / COUNTIF($B$2:$B$269,"&gt;0")) + 1)</f>
        <v/>
      </c>
      <c r="M152" t="str">
        <f>IF(C152=0,"","Q"&amp;INT(4*( RANK(C152, IF($C$2:$C$269&lt;&gt;0, $C$2:$C$269), 0) - 1 ) / COUNTIF($C$2:$C$269,"&gt;0")) + 1)</f>
        <v/>
      </c>
      <c r="N152" t="str">
        <f>IF(D152=0,"","Q"&amp;INT(4*( RANK(D152, IF($D$2:$D$269&lt;&gt;0, $D$2:$D$269), 0) - 1 ) / COUNTIF($D$2:$D$269,"&gt;0")) + 1)</f>
        <v/>
      </c>
      <c r="O152" t="str">
        <f>IF(E152=0,"","Q"&amp;INT(4*( RANK(E152, IF($E$2:$E$269&lt;&gt;0, $E$2:$E$269), 0) - 1 ) / COUNTIF($E$2:$E$269,"&gt;0")) + 1)</f>
        <v>Q3</v>
      </c>
      <c r="P152" t="str">
        <f>IF(F152=0,"","Q"&amp;INT(4*( RANK(F152, IF($F$2:$F$269&lt;&gt;0, $F$2:$F$269), 0) - 1 ) / COUNTIF($F$2:$F$269,"&gt;0")) + 1)</f>
        <v/>
      </c>
      <c r="Q152" t="str">
        <f>IF(G152=0,"","Q"&amp;INT(4*( RANK(G152, IF($G$2:$G$269&lt;&gt;0, $G$2:$G$269), 0) - 1 ) / COUNTIF($G$2:$G$269,"&gt;0")) + 1)</f>
        <v/>
      </c>
      <c r="R152" t="str">
        <f>IF(H152=0,"","Q"&amp;INT(4*( RANK(H152, IF($H$2:$H$269&lt;&gt;0, $H$2:$H$269), 0) - 1 ) / COUNTIF($H$2:$H$269,"&gt;0")) + 1)</f>
        <v/>
      </c>
      <c r="S152" t="str">
        <f>IF(I152=0,"","Q"&amp;INT(4*( RANK(I152, IF($I$2:$I$269&lt;&gt;0, $I$2:$I$269), 0) - 1 ) / COUNTIF($I$2:$I$269,"&gt;0")) + 1)</f>
        <v/>
      </c>
      <c r="T152" t="str">
        <f>IF(J152=0,"","Q"&amp;INT(4*( RANK(J152, IF($J$2:$J$269&lt;&gt;0, $J$2:$J$269), 0) - 1 ) / COUNTIF($J$2:$J$269,"&gt;0")) + 1)</f>
        <v/>
      </c>
      <c r="U152" t="str">
        <f>IF(K152=0,"","Q"&amp;INT(4*( RANK(K152, IF($K$2:$K$269&lt;&gt;0, $K$2:$K$269), 0) - 1 ) / COUNTIF($K$2:$K$269,"&gt;0")) + 1)</f>
        <v/>
      </c>
    </row>
    <row r="153" spans="1:21" x14ac:dyDescent="0.2">
      <c r="A153" t="s">
        <v>1063</v>
      </c>
      <c r="B153" s="2">
        <v>0</v>
      </c>
      <c r="C153" s="2">
        <v>0.6</v>
      </c>
      <c r="D153" s="2">
        <v>0</v>
      </c>
      <c r="E153" s="2">
        <v>0</v>
      </c>
      <c r="F153" s="2">
        <v>0</v>
      </c>
      <c r="G153" s="2">
        <v>0</v>
      </c>
      <c r="H153" s="2">
        <v>0.44444444444444398</v>
      </c>
      <c r="I153" s="2">
        <v>0</v>
      </c>
      <c r="J153" s="2">
        <v>0</v>
      </c>
      <c r="K153" s="2">
        <v>0</v>
      </c>
      <c r="L153" t="str">
        <f>IF(B153=0,"","Q"&amp;INT(4*( RANK(B153, IF($B$2:$B$269&lt;&gt;0, $B$2:$B$269), 0) - 1 ) / COUNTIF($B$2:$B$269,"&gt;0")) + 1)</f>
        <v/>
      </c>
      <c r="M153" t="str">
        <f>IF(C153=0,"","Q"&amp;INT(4*( RANK(C153, IF($C$2:$C$269&lt;&gt;0, $C$2:$C$269), 0) - 1 ) / COUNTIF($C$2:$C$269,"&gt;0")) + 1)</f>
        <v>Q1</v>
      </c>
      <c r="N153" t="str">
        <f>IF(D153=0,"","Q"&amp;INT(4*( RANK(D153, IF($D$2:$D$269&lt;&gt;0, $D$2:$D$269), 0) - 1 ) / COUNTIF($D$2:$D$269,"&gt;0")) + 1)</f>
        <v/>
      </c>
      <c r="O153" t="str">
        <f>IF(E153=0,"","Q"&amp;INT(4*( RANK(E153, IF($E$2:$E$269&lt;&gt;0, $E$2:$E$269), 0) - 1 ) / COUNTIF($E$2:$E$269,"&gt;0")) + 1)</f>
        <v/>
      </c>
      <c r="P153" t="str">
        <f>IF(F153=0,"","Q"&amp;INT(4*( RANK(F153, IF($F$2:$F$269&lt;&gt;0, $F$2:$F$269), 0) - 1 ) / COUNTIF($F$2:$F$269,"&gt;0")) + 1)</f>
        <v/>
      </c>
      <c r="Q153" t="str">
        <f>IF(G153=0,"","Q"&amp;INT(4*( RANK(G153, IF($G$2:$G$269&lt;&gt;0, $G$2:$G$269), 0) - 1 ) / COUNTIF($G$2:$G$269,"&gt;0")) + 1)</f>
        <v/>
      </c>
      <c r="R153" t="str">
        <f>IF(H153=0,"","Q"&amp;INT(4*( RANK(H153, IF($H$2:$H$269&lt;&gt;0, $H$2:$H$269), 0) - 1 ) / COUNTIF($H$2:$H$269,"&gt;0")) + 1)</f>
        <v>Q1</v>
      </c>
      <c r="S153" t="str">
        <f>IF(I153=0,"","Q"&amp;INT(4*( RANK(I153, IF($I$2:$I$269&lt;&gt;0, $I$2:$I$269), 0) - 1 ) / COUNTIF($I$2:$I$269,"&gt;0")) + 1)</f>
        <v/>
      </c>
      <c r="T153" t="str">
        <f>IF(J153=0,"","Q"&amp;INT(4*( RANK(J153, IF($J$2:$J$269&lt;&gt;0, $J$2:$J$269), 0) - 1 ) / COUNTIF($J$2:$J$269,"&gt;0")) + 1)</f>
        <v/>
      </c>
      <c r="U153" t="str">
        <f>IF(K153=0,"","Q"&amp;INT(4*( RANK(K153, IF($K$2:$K$269&lt;&gt;0, $K$2:$K$269), 0) - 1 ) / COUNTIF($K$2:$K$269,"&gt;0")) + 1)</f>
        <v/>
      </c>
    </row>
    <row r="154" spans="1:21" x14ac:dyDescent="0.2">
      <c r="A154" t="s">
        <v>229</v>
      </c>
      <c r="B154" s="2">
        <v>0</v>
      </c>
      <c r="C154" s="2">
        <v>0</v>
      </c>
      <c r="D154" s="2">
        <v>0</v>
      </c>
      <c r="E154" s="2">
        <v>2.5210084033613401E-2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t="str">
        <f>IF(B154=0,"","Q"&amp;INT(4*( RANK(B154, IF($B$2:$B$269&lt;&gt;0, $B$2:$B$269), 0) - 1 ) / COUNTIF($B$2:$B$269,"&gt;0")) + 1)</f>
        <v/>
      </c>
      <c r="M154" t="str">
        <f>IF(C154=0,"","Q"&amp;INT(4*( RANK(C154, IF($C$2:$C$269&lt;&gt;0, $C$2:$C$269), 0) - 1 ) / COUNTIF($C$2:$C$269,"&gt;0")) + 1)</f>
        <v/>
      </c>
      <c r="N154" t="str">
        <f>IF(D154=0,"","Q"&amp;INT(4*( RANK(D154, IF($D$2:$D$269&lt;&gt;0, $D$2:$D$269), 0) - 1 ) / COUNTIF($D$2:$D$269,"&gt;0")) + 1)</f>
        <v/>
      </c>
      <c r="O154" t="str">
        <f>IF(E154=0,"","Q"&amp;INT(4*( RANK(E154, IF($E$2:$E$269&lt;&gt;0, $E$2:$E$269), 0) - 1 ) / COUNTIF($E$2:$E$269,"&gt;0")) + 1)</f>
        <v>Q1</v>
      </c>
      <c r="P154" t="str">
        <f>IF(F154=0,"","Q"&amp;INT(4*( RANK(F154, IF($F$2:$F$269&lt;&gt;0, $F$2:$F$269), 0) - 1 ) / COUNTIF($F$2:$F$269,"&gt;0")) + 1)</f>
        <v/>
      </c>
      <c r="Q154" t="str">
        <f>IF(G154=0,"","Q"&amp;INT(4*( RANK(G154, IF($G$2:$G$269&lt;&gt;0, $G$2:$G$269), 0) - 1 ) / COUNTIF($G$2:$G$269,"&gt;0")) + 1)</f>
        <v/>
      </c>
      <c r="R154" t="str">
        <f>IF(H154=0,"","Q"&amp;INT(4*( RANK(H154, IF($H$2:$H$269&lt;&gt;0, $H$2:$H$269), 0) - 1 ) / COUNTIF($H$2:$H$269,"&gt;0")) + 1)</f>
        <v/>
      </c>
      <c r="S154" t="str">
        <f>IF(I154=0,"","Q"&amp;INT(4*( RANK(I154, IF($I$2:$I$269&lt;&gt;0, $I$2:$I$269), 0) - 1 ) / COUNTIF($I$2:$I$269,"&gt;0")) + 1)</f>
        <v/>
      </c>
      <c r="T154" t="str">
        <f>IF(J154=0,"","Q"&amp;INT(4*( RANK(J154, IF($J$2:$J$269&lt;&gt;0, $J$2:$J$269), 0) - 1 ) / COUNTIF($J$2:$J$269,"&gt;0")) + 1)</f>
        <v/>
      </c>
      <c r="U154" t="str">
        <f>IF(K154=0,"","Q"&amp;INT(4*( RANK(K154, IF($K$2:$K$269&lt;&gt;0, $K$2:$K$269), 0) - 1 ) / COUNTIF($K$2:$K$269,"&gt;0")) + 1)</f>
        <v/>
      </c>
    </row>
    <row r="155" spans="1:21" x14ac:dyDescent="0.2">
      <c r="A155" t="s">
        <v>989</v>
      </c>
      <c r="B155" s="2">
        <v>0</v>
      </c>
      <c r="C155" s="2">
        <v>0</v>
      </c>
      <c r="D155" s="2">
        <v>0</v>
      </c>
      <c r="E155" s="2">
        <v>0</v>
      </c>
      <c r="F155" s="2">
        <v>3.8461538461538401E-2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t="str">
        <f>IF(B155=0,"","Q"&amp;INT(4*( RANK(B155, IF($B$2:$B$269&lt;&gt;0, $B$2:$B$269), 0) - 1 ) / COUNTIF($B$2:$B$269,"&gt;0")) + 1)</f>
        <v/>
      </c>
      <c r="M155" t="str">
        <f>IF(C155=0,"","Q"&amp;INT(4*( RANK(C155, IF($C$2:$C$269&lt;&gt;0, $C$2:$C$269), 0) - 1 ) / COUNTIF($C$2:$C$269,"&gt;0")) + 1)</f>
        <v/>
      </c>
      <c r="N155" t="str">
        <f>IF(D155=0,"","Q"&amp;INT(4*( RANK(D155, IF($D$2:$D$269&lt;&gt;0, $D$2:$D$269), 0) - 1 ) / COUNTIF($D$2:$D$269,"&gt;0")) + 1)</f>
        <v/>
      </c>
      <c r="O155" t="str">
        <f>IF(E155=0,"","Q"&amp;INT(4*( RANK(E155, IF($E$2:$E$269&lt;&gt;0, $E$2:$E$269), 0) - 1 ) / COUNTIF($E$2:$E$269,"&gt;0")) + 1)</f>
        <v/>
      </c>
      <c r="P155" t="str">
        <f>IF(F155=0,"","Q"&amp;INT(4*( RANK(F155, IF($F$2:$F$269&lt;&gt;0, $F$2:$F$269), 0) - 1 ) / COUNTIF($F$2:$F$269,"&gt;0")) + 1)</f>
        <v>Q4</v>
      </c>
      <c r="Q155" t="str">
        <f>IF(G155=0,"","Q"&amp;INT(4*( RANK(G155, IF($G$2:$G$269&lt;&gt;0, $G$2:$G$269), 0) - 1 ) / COUNTIF($G$2:$G$269,"&gt;0")) + 1)</f>
        <v/>
      </c>
      <c r="R155" t="str">
        <f>IF(H155=0,"","Q"&amp;INT(4*( RANK(H155, IF($H$2:$H$269&lt;&gt;0, $H$2:$H$269), 0) - 1 ) / COUNTIF($H$2:$H$269,"&gt;0")) + 1)</f>
        <v/>
      </c>
      <c r="S155" t="str">
        <f>IF(I155=0,"","Q"&amp;INT(4*( RANK(I155, IF($I$2:$I$269&lt;&gt;0, $I$2:$I$269), 0) - 1 ) / COUNTIF($I$2:$I$269,"&gt;0")) + 1)</f>
        <v/>
      </c>
      <c r="T155" t="str">
        <f>IF(J155=0,"","Q"&amp;INT(4*( RANK(J155, IF($J$2:$J$269&lt;&gt;0, $J$2:$J$269), 0) - 1 ) / COUNTIF($J$2:$J$269,"&gt;0")) + 1)</f>
        <v/>
      </c>
      <c r="U155" t="str">
        <f>IF(K155=0,"","Q"&amp;INT(4*( RANK(K155, IF($K$2:$K$269&lt;&gt;0, $K$2:$K$269), 0) - 1 ) / COUNTIF($K$2:$K$269,"&gt;0")) + 1)</f>
        <v/>
      </c>
    </row>
    <row r="156" spans="1:21" x14ac:dyDescent="0.2">
      <c r="A156" t="s">
        <v>1064</v>
      </c>
      <c r="B156" s="2">
        <v>0</v>
      </c>
      <c r="C156" s="2">
        <v>0</v>
      </c>
      <c r="D156" s="2">
        <v>0</v>
      </c>
      <c r="E156" s="2">
        <v>1.26050420168067E-2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t="str">
        <f>IF(B156=0,"","Q"&amp;INT(4*( RANK(B156, IF($B$2:$B$269&lt;&gt;0, $B$2:$B$269), 0) - 1 ) / COUNTIF($B$2:$B$269,"&gt;0")) + 1)</f>
        <v/>
      </c>
      <c r="M156" t="str">
        <f>IF(C156=0,"","Q"&amp;INT(4*( RANK(C156, IF($C$2:$C$269&lt;&gt;0, $C$2:$C$269), 0) - 1 ) / COUNTIF($C$2:$C$269,"&gt;0")) + 1)</f>
        <v/>
      </c>
      <c r="N156" t="str">
        <f>IF(D156=0,"","Q"&amp;INT(4*( RANK(D156, IF($D$2:$D$269&lt;&gt;0, $D$2:$D$269), 0) - 1 ) / COUNTIF($D$2:$D$269,"&gt;0")) + 1)</f>
        <v/>
      </c>
      <c r="O156" t="str">
        <f>IF(E156=0,"","Q"&amp;INT(4*( RANK(E156, IF($E$2:$E$269&lt;&gt;0, $E$2:$E$269), 0) - 1 ) / COUNTIF($E$2:$E$269,"&gt;0")) + 1)</f>
        <v>Q2</v>
      </c>
      <c r="P156" t="str">
        <f>IF(F156=0,"","Q"&amp;INT(4*( RANK(F156, IF($F$2:$F$269&lt;&gt;0, $F$2:$F$269), 0) - 1 ) / COUNTIF($F$2:$F$269,"&gt;0")) + 1)</f>
        <v/>
      </c>
      <c r="Q156" t="str">
        <f>IF(G156=0,"","Q"&amp;INT(4*( RANK(G156, IF($G$2:$G$269&lt;&gt;0, $G$2:$G$269), 0) - 1 ) / COUNTIF($G$2:$G$269,"&gt;0")) + 1)</f>
        <v/>
      </c>
      <c r="R156" t="str">
        <f>IF(H156=0,"","Q"&amp;INT(4*( RANK(H156, IF($H$2:$H$269&lt;&gt;0, $H$2:$H$269), 0) - 1 ) / COUNTIF($H$2:$H$269,"&gt;0")) + 1)</f>
        <v/>
      </c>
      <c r="S156" t="str">
        <f>IF(I156=0,"","Q"&amp;INT(4*( RANK(I156, IF($I$2:$I$269&lt;&gt;0, $I$2:$I$269), 0) - 1 ) / COUNTIF($I$2:$I$269,"&gt;0")) + 1)</f>
        <v/>
      </c>
      <c r="T156" t="str">
        <f>IF(J156=0,"","Q"&amp;INT(4*( RANK(J156, IF($J$2:$J$269&lt;&gt;0, $J$2:$J$269), 0) - 1 ) / COUNTIF($J$2:$J$269,"&gt;0")) + 1)</f>
        <v/>
      </c>
      <c r="U156" t="str">
        <f>IF(K156=0,"","Q"&amp;INT(4*( RANK(K156, IF($K$2:$K$269&lt;&gt;0, $K$2:$K$269), 0) - 1 ) / COUNTIF($K$2:$K$269,"&gt;0")) + 1)</f>
        <v/>
      </c>
    </row>
    <row r="157" spans="1:21" x14ac:dyDescent="0.2">
      <c r="A157" t="s">
        <v>232</v>
      </c>
      <c r="B157" s="2">
        <v>0</v>
      </c>
      <c r="C157" s="2">
        <v>0</v>
      </c>
      <c r="D157" s="2">
        <v>0</v>
      </c>
      <c r="E157" s="2">
        <v>7.1428571428571397E-2</v>
      </c>
      <c r="F157" s="2">
        <v>0.269230769230769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t="str">
        <f>IF(B157=0,"","Q"&amp;INT(4*( RANK(B157, IF($B$2:$B$269&lt;&gt;0, $B$2:$B$269), 0) - 1 ) / COUNTIF($B$2:$B$269,"&gt;0")) + 1)</f>
        <v/>
      </c>
      <c r="M157" t="str">
        <f>IF(C157=0,"","Q"&amp;INT(4*( RANK(C157, IF($C$2:$C$269&lt;&gt;0, $C$2:$C$269), 0) - 1 ) / COUNTIF($C$2:$C$269,"&gt;0")) + 1)</f>
        <v/>
      </c>
      <c r="N157" t="str">
        <f>IF(D157=0,"","Q"&amp;INT(4*( RANK(D157, IF($D$2:$D$269&lt;&gt;0, $D$2:$D$269), 0) - 1 ) / COUNTIF($D$2:$D$269,"&gt;0")) + 1)</f>
        <v/>
      </c>
      <c r="O157" t="str">
        <f>IF(E157=0,"","Q"&amp;INT(4*( RANK(E157, IF($E$2:$E$269&lt;&gt;0, $E$2:$E$269), 0) - 1 ) / COUNTIF($E$2:$E$269,"&gt;0")) + 1)</f>
        <v>Q1</v>
      </c>
      <c r="P157" t="str">
        <f>IF(F157=0,"","Q"&amp;INT(4*( RANK(F157, IF($F$2:$F$269&lt;&gt;0, $F$2:$F$269), 0) - 1 ) / COUNTIF($F$2:$F$269,"&gt;0")) + 1)</f>
        <v>Q1</v>
      </c>
      <c r="Q157" t="str">
        <f>IF(G157=0,"","Q"&amp;INT(4*( RANK(G157, IF($G$2:$G$269&lt;&gt;0, $G$2:$G$269), 0) - 1 ) / COUNTIF($G$2:$G$269,"&gt;0")) + 1)</f>
        <v/>
      </c>
      <c r="R157" t="str">
        <f>IF(H157=0,"","Q"&amp;INT(4*( RANK(H157, IF($H$2:$H$269&lt;&gt;0, $H$2:$H$269), 0) - 1 ) / COUNTIF($H$2:$H$269,"&gt;0")) + 1)</f>
        <v/>
      </c>
      <c r="S157" t="str">
        <f>IF(I157=0,"","Q"&amp;INT(4*( RANK(I157, IF($I$2:$I$269&lt;&gt;0, $I$2:$I$269), 0) - 1 ) / COUNTIF($I$2:$I$269,"&gt;0")) + 1)</f>
        <v/>
      </c>
      <c r="T157" t="str">
        <f>IF(J157=0,"","Q"&amp;INT(4*( RANK(J157, IF($J$2:$J$269&lt;&gt;0, $J$2:$J$269), 0) - 1 ) / COUNTIF($J$2:$J$269,"&gt;0")) + 1)</f>
        <v/>
      </c>
      <c r="U157" t="str">
        <f>IF(K157=0,"","Q"&amp;INT(4*( RANK(K157, IF($K$2:$K$269&lt;&gt;0, $K$2:$K$269), 0) - 1 ) / COUNTIF($K$2:$K$269,"&gt;0")) + 1)</f>
        <v/>
      </c>
    </row>
    <row r="158" spans="1:21" x14ac:dyDescent="0.2">
      <c r="A158" t="s">
        <v>233</v>
      </c>
      <c r="B158" s="2">
        <v>0</v>
      </c>
      <c r="C158" s="2">
        <v>0</v>
      </c>
      <c r="D158" s="2">
        <v>0.28571428571428498</v>
      </c>
      <c r="E158" s="2">
        <v>0.33193277310924302</v>
      </c>
      <c r="F158" s="2">
        <v>7.69230769230769E-2</v>
      </c>
      <c r="G158" s="2">
        <v>0</v>
      </c>
      <c r="H158" s="2">
        <v>0</v>
      </c>
      <c r="I158" s="2">
        <v>0</v>
      </c>
      <c r="J158" s="2">
        <v>0.60465116279069697</v>
      </c>
      <c r="K158" s="2">
        <v>0</v>
      </c>
      <c r="L158" t="str">
        <f>IF(B158=0,"","Q"&amp;INT(4*( RANK(B158, IF($B$2:$B$269&lt;&gt;0, $B$2:$B$269), 0) - 1 ) / COUNTIF($B$2:$B$269,"&gt;0")) + 1)</f>
        <v/>
      </c>
      <c r="M158" t="str">
        <f>IF(C158=0,"","Q"&amp;INT(4*( RANK(C158, IF($C$2:$C$269&lt;&gt;0, $C$2:$C$269), 0) - 1 ) / COUNTIF($C$2:$C$269,"&gt;0")) + 1)</f>
        <v/>
      </c>
      <c r="N158" t="str">
        <f>IF(D158=0,"","Q"&amp;INT(4*( RANK(D158, IF($D$2:$D$269&lt;&gt;0, $D$2:$D$269), 0) - 1 ) / COUNTIF($D$2:$D$269,"&gt;0")) + 1)</f>
        <v>Q1</v>
      </c>
      <c r="O158" t="str">
        <f>IF(E158=0,"","Q"&amp;INT(4*( RANK(E158, IF($E$2:$E$269&lt;&gt;0, $E$2:$E$269), 0) - 1 ) / COUNTIF($E$2:$E$269,"&gt;0")) + 1)</f>
        <v>Q1</v>
      </c>
      <c r="P158" t="str">
        <f>IF(F158=0,"","Q"&amp;INT(4*( RANK(F158, IF($F$2:$F$269&lt;&gt;0, $F$2:$F$269), 0) - 1 ) / COUNTIF($F$2:$F$269,"&gt;0")) + 1)</f>
        <v>Q3</v>
      </c>
      <c r="Q158" t="str">
        <f>IF(G158=0,"","Q"&amp;INT(4*( RANK(G158, IF($G$2:$G$269&lt;&gt;0, $G$2:$G$269), 0) - 1 ) / COUNTIF($G$2:$G$269,"&gt;0")) + 1)</f>
        <v/>
      </c>
      <c r="R158" t="str">
        <f>IF(H158=0,"","Q"&amp;INT(4*( RANK(H158, IF($H$2:$H$269&lt;&gt;0, $H$2:$H$269), 0) - 1 ) / COUNTIF($H$2:$H$269,"&gt;0")) + 1)</f>
        <v/>
      </c>
      <c r="S158" t="str">
        <f>IF(I158=0,"","Q"&amp;INT(4*( RANK(I158, IF($I$2:$I$269&lt;&gt;0, $I$2:$I$269), 0) - 1 ) / COUNTIF($I$2:$I$269,"&gt;0")) + 1)</f>
        <v/>
      </c>
      <c r="T158" t="str">
        <f>IF(J158=0,"","Q"&amp;INT(4*( RANK(J158, IF($J$2:$J$269&lt;&gt;0, $J$2:$J$269), 0) - 1 ) / COUNTIF($J$2:$J$269,"&gt;0")) + 1)</f>
        <v>Q1</v>
      </c>
      <c r="U158" t="str">
        <f>IF(K158=0,"","Q"&amp;INT(4*( RANK(K158, IF($K$2:$K$269&lt;&gt;0, $K$2:$K$269), 0) - 1 ) / COUNTIF($K$2:$K$269,"&gt;0")) + 1)</f>
        <v/>
      </c>
    </row>
    <row r="159" spans="1:21" x14ac:dyDescent="0.2">
      <c r="A159" t="s">
        <v>990</v>
      </c>
      <c r="B159" s="2">
        <v>0</v>
      </c>
      <c r="C159" s="2">
        <v>0</v>
      </c>
      <c r="D159" s="2">
        <v>0</v>
      </c>
      <c r="E159" s="2">
        <v>3.3613445378151197E-2</v>
      </c>
      <c r="F159" s="2">
        <v>0</v>
      </c>
      <c r="G159" s="2">
        <v>0</v>
      </c>
      <c r="H159" s="2">
        <v>0.33333333333333298</v>
      </c>
      <c r="I159" s="2">
        <v>0</v>
      </c>
      <c r="J159" s="2">
        <v>9.3023255813953404E-2</v>
      </c>
      <c r="K159" s="2">
        <v>0</v>
      </c>
      <c r="L159" t="str">
        <f>IF(B159=0,"","Q"&amp;INT(4*( RANK(B159, IF($B$2:$B$269&lt;&gt;0, $B$2:$B$269), 0) - 1 ) / COUNTIF($B$2:$B$269,"&gt;0")) + 1)</f>
        <v/>
      </c>
      <c r="M159" t="str">
        <f>IF(C159=0,"","Q"&amp;INT(4*( RANK(C159, IF($C$2:$C$269&lt;&gt;0, $C$2:$C$269), 0) - 1 ) / COUNTIF($C$2:$C$269,"&gt;0")) + 1)</f>
        <v/>
      </c>
      <c r="N159" t="str">
        <f>IF(D159=0,"","Q"&amp;INT(4*( RANK(D159, IF($D$2:$D$269&lt;&gt;0, $D$2:$D$269), 0) - 1 ) / COUNTIF($D$2:$D$269,"&gt;0")) + 1)</f>
        <v/>
      </c>
      <c r="O159" t="str">
        <f>IF(E159=0,"","Q"&amp;INT(4*( RANK(E159, IF($E$2:$E$269&lt;&gt;0, $E$2:$E$269), 0) - 1 ) / COUNTIF($E$2:$E$269,"&gt;0")) + 1)</f>
        <v>Q1</v>
      </c>
      <c r="P159" t="str">
        <f>IF(F159=0,"","Q"&amp;INT(4*( RANK(F159, IF($F$2:$F$269&lt;&gt;0, $F$2:$F$269), 0) - 1 ) / COUNTIF($F$2:$F$269,"&gt;0")) + 1)</f>
        <v/>
      </c>
      <c r="Q159" t="str">
        <f>IF(G159=0,"","Q"&amp;INT(4*( RANK(G159, IF($G$2:$G$269&lt;&gt;0, $G$2:$G$269), 0) - 1 ) / COUNTIF($G$2:$G$269,"&gt;0")) + 1)</f>
        <v/>
      </c>
      <c r="R159" t="str">
        <f>IF(H159=0,"","Q"&amp;INT(4*( RANK(H159, IF($H$2:$H$269&lt;&gt;0, $H$2:$H$269), 0) - 1 ) / COUNTIF($H$2:$H$269,"&gt;0")) + 1)</f>
        <v>Q2</v>
      </c>
      <c r="S159" t="str">
        <f>IF(I159=0,"","Q"&amp;INT(4*( RANK(I159, IF($I$2:$I$269&lt;&gt;0, $I$2:$I$269), 0) - 1 ) / COUNTIF($I$2:$I$269,"&gt;0")) + 1)</f>
        <v/>
      </c>
      <c r="T159" t="str">
        <f>IF(J159=0,"","Q"&amp;INT(4*( RANK(J159, IF($J$2:$J$269&lt;&gt;0, $J$2:$J$269), 0) - 1 ) / COUNTIF($J$2:$J$269,"&gt;0")) + 1)</f>
        <v>Q2</v>
      </c>
      <c r="U159" t="str">
        <f>IF(K159=0,"","Q"&amp;INT(4*( RANK(K159, IF($K$2:$K$269&lt;&gt;0, $K$2:$K$269), 0) - 1 ) / COUNTIF($K$2:$K$269,"&gt;0")) + 1)</f>
        <v/>
      </c>
    </row>
    <row r="160" spans="1:21" x14ac:dyDescent="0.2">
      <c r="A160" t="s">
        <v>1065</v>
      </c>
      <c r="B160" s="2">
        <v>0</v>
      </c>
      <c r="C160" s="2">
        <v>0</v>
      </c>
      <c r="D160" s="2">
        <v>0.33333333333333298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t="str">
        <f>IF(B160=0,"","Q"&amp;INT(4*( RANK(B160, IF($B$2:$B$269&lt;&gt;0, $B$2:$B$269), 0) - 1 ) / COUNTIF($B$2:$B$269,"&gt;0")) + 1)</f>
        <v/>
      </c>
      <c r="M160" t="str">
        <f>IF(C160=0,"","Q"&amp;INT(4*( RANK(C160, IF($C$2:$C$269&lt;&gt;0, $C$2:$C$269), 0) - 1 ) / COUNTIF($C$2:$C$269,"&gt;0")) + 1)</f>
        <v/>
      </c>
      <c r="N160" t="str">
        <f>IF(D160=0,"","Q"&amp;INT(4*( RANK(D160, IF($D$2:$D$269&lt;&gt;0, $D$2:$D$269), 0) - 1 ) / COUNTIF($D$2:$D$269,"&gt;0")) + 1)</f>
        <v>Q1</v>
      </c>
      <c r="O160" t="str">
        <f>IF(E160=0,"","Q"&amp;INT(4*( RANK(E160, IF($E$2:$E$269&lt;&gt;0, $E$2:$E$269), 0) - 1 ) / COUNTIF($E$2:$E$269,"&gt;0")) + 1)</f>
        <v/>
      </c>
      <c r="P160" t="str">
        <f>IF(F160=0,"","Q"&amp;INT(4*( RANK(F160, IF($F$2:$F$269&lt;&gt;0, $F$2:$F$269), 0) - 1 ) / COUNTIF($F$2:$F$269,"&gt;0")) + 1)</f>
        <v/>
      </c>
      <c r="Q160" t="str">
        <f>IF(G160=0,"","Q"&amp;INT(4*( RANK(G160, IF($G$2:$G$269&lt;&gt;0, $G$2:$G$269), 0) - 1 ) / COUNTIF($G$2:$G$269,"&gt;0")) + 1)</f>
        <v/>
      </c>
      <c r="R160" t="str">
        <f>IF(H160=0,"","Q"&amp;INT(4*( RANK(H160, IF($H$2:$H$269&lt;&gt;0, $H$2:$H$269), 0) - 1 ) / COUNTIF($H$2:$H$269,"&gt;0")) + 1)</f>
        <v/>
      </c>
      <c r="S160" t="str">
        <f>IF(I160=0,"","Q"&amp;INT(4*( RANK(I160, IF($I$2:$I$269&lt;&gt;0, $I$2:$I$269), 0) - 1 ) / COUNTIF($I$2:$I$269,"&gt;0")) + 1)</f>
        <v/>
      </c>
      <c r="T160" t="str">
        <f>IF(J160=0,"","Q"&amp;INT(4*( RANK(J160, IF($J$2:$J$269&lt;&gt;0, $J$2:$J$269), 0) - 1 ) / COUNTIF($J$2:$J$269,"&gt;0")) + 1)</f>
        <v/>
      </c>
      <c r="U160" t="str">
        <f>IF(K160=0,"","Q"&amp;INT(4*( RANK(K160, IF($K$2:$K$269&lt;&gt;0, $K$2:$K$269), 0) - 1 ) / COUNTIF($K$2:$K$269,"&gt;0")) + 1)</f>
        <v/>
      </c>
    </row>
    <row r="161" spans="1:21" x14ac:dyDescent="0.2">
      <c r="A161" t="s">
        <v>1066</v>
      </c>
      <c r="B161" s="2">
        <v>0</v>
      </c>
      <c r="C161" s="2">
        <v>0</v>
      </c>
      <c r="D161" s="2">
        <v>0</v>
      </c>
      <c r="E161" s="2">
        <v>1.6806722689075598E-2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t="str">
        <f>IF(B161=0,"","Q"&amp;INT(4*( RANK(B161, IF($B$2:$B$269&lt;&gt;0, $B$2:$B$269), 0) - 1 ) / COUNTIF($B$2:$B$269,"&gt;0")) + 1)</f>
        <v/>
      </c>
      <c r="M161" t="str">
        <f>IF(C161=0,"","Q"&amp;INT(4*( RANK(C161, IF($C$2:$C$269&lt;&gt;0, $C$2:$C$269), 0) - 1 ) / COUNTIF($C$2:$C$269,"&gt;0")) + 1)</f>
        <v/>
      </c>
      <c r="N161" t="str">
        <f>IF(D161=0,"","Q"&amp;INT(4*( RANK(D161, IF($D$2:$D$269&lt;&gt;0, $D$2:$D$269), 0) - 1 ) / COUNTIF($D$2:$D$269,"&gt;0")) + 1)</f>
        <v/>
      </c>
      <c r="O161" t="str">
        <f>IF(E161=0,"","Q"&amp;INT(4*( RANK(E161, IF($E$2:$E$269&lt;&gt;0, $E$2:$E$269), 0) - 1 ) / COUNTIF($E$2:$E$269,"&gt;0")) + 1)</f>
        <v>Q2</v>
      </c>
      <c r="P161" t="str">
        <f>IF(F161=0,"","Q"&amp;INT(4*( RANK(F161, IF($F$2:$F$269&lt;&gt;0, $F$2:$F$269), 0) - 1 ) / COUNTIF($F$2:$F$269,"&gt;0")) + 1)</f>
        <v/>
      </c>
      <c r="Q161" t="str">
        <f>IF(G161=0,"","Q"&amp;INT(4*( RANK(G161, IF($G$2:$G$269&lt;&gt;0, $G$2:$G$269), 0) - 1 ) / COUNTIF($G$2:$G$269,"&gt;0")) + 1)</f>
        <v/>
      </c>
      <c r="R161" t="str">
        <f>IF(H161=0,"","Q"&amp;INT(4*( RANK(H161, IF($H$2:$H$269&lt;&gt;0, $H$2:$H$269), 0) - 1 ) / COUNTIF($H$2:$H$269,"&gt;0")) + 1)</f>
        <v/>
      </c>
      <c r="S161" t="str">
        <f>IF(I161=0,"","Q"&amp;INT(4*( RANK(I161, IF($I$2:$I$269&lt;&gt;0, $I$2:$I$269), 0) - 1 ) / COUNTIF($I$2:$I$269,"&gt;0")) + 1)</f>
        <v/>
      </c>
      <c r="T161" t="str">
        <f>IF(J161=0,"","Q"&amp;INT(4*( RANK(J161, IF($J$2:$J$269&lt;&gt;0, $J$2:$J$269), 0) - 1 ) / COUNTIF($J$2:$J$269,"&gt;0")) + 1)</f>
        <v/>
      </c>
      <c r="U161" t="str">
        <f>IF(K161=0,"","Q"&amp;INT(4*( RANK(K161, IF($K$2:$K$269&lt;&gt;0, $K$2:$K$269), 0) - 1 ) / COUNTIF($K$2:$K$269,"&gt;0")) + 1)</f>
        <v/>
      </c>
    </row>
    <row r="162" spans="1:21" x14ac:dyDescent="0.2">
      <c r="A162" t="s">
        <v>1067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  <c r="K162" s="2">
        <v>0</v>
      </c>
      <c r="L162" t="str">
        <f>IF(B162=0,"","Q"&amp;INT(4*( RANK(B162, IF($B$2:$B$269&lt;&gt;0, $B$2:$B$269), 0) - 1 ) / COUNTIF($B$2:$B$269,"&gt;0")) + 1)</f>
        <v/>
      </c>
      <c r="M162" t="str">
        <f>IF(C162=0,"","Q"&amp;INT(4*( RANK(C162, IF($C$2:$C$269&lt;&gt;0, $C$2:$C$269), 0) - 1 ) / COUNTIF($C$2:$C$269,"&gt;0")) + 1)</f>
        <v/>
      </c>
      <c r="N162" t="str">
        <f>IF(D162=0,"","Q"&amp;INT(4*( RANK(D162, IF($D$2:$D$269&lt;&gt;0, $D$2:$D$269), 0) - 1 ) / COUNTIF($D$2:$D$269,"&gt;0")) + 1)</f>
        <v/>
      </c>
      <c r="O162" t="str">
        <f>IF(E162=0,"","Q"&amp;INT(4*( RANK(E162, IF($E$2:$E$269&lt;&gt;0, $E$2:$E$269), 0) - 1 ) / COUNTIF($E$2:$E$269,"&gt;0")) + 1)</f>
        <v/>
      </c>
      <c r="P162" t="str">
        <f>IF(F162=0,"","Q"&amp;INT(4*( RANK(F162, IF($F$2:$F$269&lt;&gt;0, $F$2:$F$269), 0) - 1 ) / COUNTIF($F$2:$F$269,"&gt;0")) + 1)</f>
        <v/>
      </c>
      <c r="Q162" t="str">
        <f>IF(G162=0,"","Q"&amp;INT(4*( RANK(G162, IF($G$2:$G$269&lt;&gt;0, $G$2:$G$269), 0) - 1 ) / COUNTIF($G$2:$G$269,"&gt;0")) + 1)</f>
        <v/>
      </c>
      <c r="R162" t="str">
        <f>IF(H162=0,"","Q"&amp;INT(4*( RANK(H162, IF($H$2:$H$269&lt;&gt;0, $H$2:$H$269), 0) - 1 ) / COUNTIF($H$2:$H$269,"&gt;0")) + 1)</f>
        <v>Q1</v>
      </c>
      <c r="S162" t="str">
        <f>IF(I162=0,"","Q"&amp;INT(4*( RANK(I162, IF($I$2:$I$269&lt;&gt;0, $I$2:$I$269), 0) - 1 ) / COUNTIF($I$2:$I$269,"&gt;0")) + 1)</f>
        <v/>
      </c>
      <c r="T162" t="str">
        <f>IF(J162=0,"","Q"&amp;INT(4*( RANK(J162, IF($J$2:$J$269&lt;&gt;0, $J$2:$J$269), 0) - 1 ) / COUNTIF($J$2:$J$269,"&gt;0")) + 1)</f>
        <v/>
      </c>
      <c r="U162" t="str">
        <f>IF(K162=0,"","Q"&amp;INT(4*( RANK(K162, IF($K$2:$K$269&lt;&gt;0, $K$2:$K$269), 0) - 1 ) / COUNTIF($K$2:$K$269,"&gt;0")) + 1)</f>
        <v/>
      </c>
    </row>
    <row r="163" spans="1:21" x14ac:dyDescent="0.2">
      <c r="A163" s="8" t="s">
        <v>239</v>
      </c>
      <c r="B163" s="2">
        <v>0</v>
      </c>
      <c r="C163" s="2">
        <v>0</v>
      </c>
      <c r="D163" s="2">
        <v>0</v>
      </c>
      <c r="E163" s="2">
        <v>1.6806722689075598E-2</v>
      </c>
      <c r="F163" s="2">
        <v>0.46200000000000002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t="str">
        <f>IF(B163=0,"","Q"&amp;INT(4*( RANK(B163, IF($B$2:$B$269&lt;&gt;0, $B$2:$B$269), 0) - 1 ) / COUNTIF($B$2:$B$269,"&gt;0")) + 1)</f>
        <v/>
      </c>
      <c r="M163" t="str">
        <f>IF(C163=0,"","Q"&amp;INT(4*( RANK(C163, IF($C$2:$C$269&lt;&gt;0, $C$2:$C$269), 0) - 1 ) / COUNTIF($C$2:$C$269,"&gt;0")) + 1)</f>
        <v/>
      </c>
      <c r="N163" t="str">
        <f>IF(D163=0,"","Q"&amp;INT(4*( RANK(D163, IF($D$2:$D$269&lt;&gt;0, $D$2:$D$269), 0) - 1 ) / COUNTIF($D$2:$D$269,"&gt;0")) + 1)</f>
        <v/>
      </c>
      <c r="O163" t="str">
        <f>IF(E163=0,"","Q"&amp;INT(4*( RANK(E163, IF($E$2:$E$269&lt;&gt;0, $E$2:$E$269), 0) - 1 ) / COUNTIF($E$2:$E$269,"&gt;0")) + 1)</f>
        <v>Q2</v>
      </c>
      <c r="P163" t="str">
        <f>IF(F163=0,"","Q"&amp;INT(4*( RANK(F163, IF($F$2:$F$269&lt;&gt;0, $F$2:$F$269), 0) - 1 ) / COUNTIF($F$2:$F$269,"&gt;0")) + 1)</f>
        <v>Q1</v>
      </c>
      <c r="Q163" t="str">
        <f>IF(G163=0,"","Q"&amp;INT(4*( RANK(G163, IF($G$2:$G$269&lt;&gt;0, $G$2:$G$269), 0) - 1 ) / COUNTIF($G$2:$G$269,"&gt;0")) + 1)</f>
        <v/>
      </c>
      <c r="R163" t="str">
        <f>IF(H163=0,"","Q"&amp;INT(4*( RANK(H163, IF($H$2:$H$269&lt;&gt;0, $H$2:$H$269), 0) - 1 ) / COUNTIF($H$2:$H$269,"&gt;0")) + 1)</f>
        <v/>
      </c>
      <c r="S163" t="str">
        <f>IF(I163=0,"","Q"&amp;INT(4*( RANK(I163, IF($I$2:$I$269&lt;&gt;0, $I$2:$I$269), 0) - 1 ) / COUNTIF($I$2:$I$269,"&gt;0")) + 1)</f>
        <v/>
      </c>
      <c r="T163" t="str">
        <f>IF(J163=0,"","Q"&amp;INT(4*( RANK(J163, IF($J$2:$J$269&lt;&gt;0, $J$2:$J$269), 0) - 1 ) / COUNTIF($J$2:$J$269,"&gt;0")) + 1)</f>
        <v/>
      </c>
      <c r="U163" t="str">
        <f>IF(K163=0,"","Q"&amp;INT(4*( RANK(K163, IF($K$2:$K$269&lt;&gt;0, $K$2:$K$269), 0) - 1 ) / COUNTIF($K$2:$K$269,"&gt;0")) + 1)</f>
        <v/>
      </c>
    </row>
    <row r="164" spans="1:21" x14ac:dyDescent="0.2">
      <c r="A164" t="s">
        <v>240</v>
      </c>
      <c r="B164" s="2">
        <v>0</v>
      </c>
      <c r="C164" s="2">
        <v>0</v>
      </c>
      <c r="D164" s="2">
        <v>0</v>
      </c>
      <c r="E164" s="2">
        <v>1.26050420168067E-2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t="str">
        <f>IF(B164=0,"","Q"&amp;INT(4*( RANK(B164, IF($B$2:$B$269&lt;&gt;0, $B$2:$B$269), 0) - 1 ) / COUNTIF($B$2:$B$269,"&gt;0")) + 1)</f>
        <v/>
      </c>
      <c r="M164" t="str">
        <f>IF(C164=0,"","Q"&amp;INT(4*( RANK(C164, IF($C$2:$C$269&lt;&gt;0, $C$2:$C$269), 0) - 1 ) / COUNTIF($C$2:$C$269,"&gt;0")) + 1)</f>
        <v/>
      </c>
      <c r="N164" t="str">
        <f>IF(D164=0,"","Q"&amp;INT(4*( RANK(D164, IF($D$2:$D$269&lt;&gt;0, $D$2:$D$269), 0) - 1 ) / COUNTIF($D$2:$D$269,"&gt;0")) + 1)</f>
        <v/>
      </c>
      <c r="O164" t="str">
        <f>IF(E164=0,"","Q"&amp;INT(4*( RANK(E164, IF($E$2:$E$269&lt;&gt;0, $E$2:$E$269), 0) - 1 ) / COUNTIF($E$2:$E$269,"&gt;0")) + 1)</f>
        <v>Q2</v>
      </c>
      <c r="P164" t="str">
        <f>IF(F164=0,"","Q"&amp;INT(4*( RANK(F164, IF($F$2:$F$269&lt;&gt;0, $F$2:$F$269), 0) - 1 ) / COUNTIF($F$2:$F$269,"&gt;0")) + 1)</f>
        <v/>
      </c>
      <c r="Q164" t="str">
        <f>IF(G164=0,"","Q"&amp;INT(4*( RANK(G164, IF($G$2:$G$269&lt;&gt;0, $G$2:$G$269), 0) - 1 ) / COUNTIF($G$2:$G$269,"&gt;0")) + 1)</f>
        <v/>
      </c>
      <c r="R164" t="str">
        <f>IF(H164=0,"","Q"&amp;INT(4*( RANK(H164, IF($H$2:$H$269&lt;&gt;0, $H$2:$H$269), 0) - 1 ) / COUNTIF($H$2:$H$269,"&gt;0")) + 1)</f>
        <v/>
      </c>
      <c r="S164" t="str">
        <f>IF(I164=0,"","Q"&amp;INT(4*( RANK(I164, IF($I$2:$I$269&lt;&gt;0, $I$2:$I$269), 0) - 1 ) / COUNTIF($I$2:$I$269,"&gt;0")) + 1)</f>
        <v/>
      </c>
      <c r="T164" t="str">
        <f>IF(J164=0,"","Q"&amp;INT(4*( RANK(J164, IF($J$2:$J$269&lt;&gt;0, $J$2:$J$269), 0) - 1 ) / COUNTIF($J$2:$J$269,"&gt;0")) + 1)</f>
        <v/>
      </c>
      <c r="U164" t="str">
        <f>IF(K164=0,"","Q"&amp;INT(4*( RANK(K164, IF($K$2:$K$269&lt;&gt;0, $K$2:$K$269), 0) - 1 ) / COUNTIF($K$2:$K$269,"&gt;0")) + 1)</f>
        <v/>
      </c>
    </row>
    <row r="165" spans="1:21" x14ac:dyDescent="0.2">
      <c r="A165" t="s">
        <v>1068</v>
      </c>
      <c r="B165" s="2">
        <v>0</v>
      </c>
      <c r="C165" s="2">
        <v>0</v>
      </c>
      <c r="D165" s="2">
        <v>0</v>
      </c>
      <c r="E165" s="2">
        <v>8.4033613445378096E-3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t="str">
        <f>IF(B165=0,"","Q"&amp;INT(4*( RANK(B165, IF($B$2:$B$269&lt;&gt;0, $B$2:$B$269), 0) - 1 ) / COUNTIF($B$2:$B$269,"&gt;0")) + 1)</f>
        <v/>
      </c>
      <c r="M165" t="str">
        <f>IF(C165=0,"","Q"&amp;INT(4*( RANK(C165, IF($C$2:$C$269&lt;&gt;0, $C$2:$C$269), 0) - 1 ) / COUNTIF($C$2:$C$269,"&gt;0")) + 1)</f>
        <v/>
      </c>
      <c r="N165" t="str">
        <f>IF(D165=0,"","Q"&amp;INT(4*( RANK(D165, IF($D$2:$D$269&lt;&gt;0, $D$2:$D$269), 0) - 1 ) / COUNTIF($D$2:$D$269,"&gt;0")) + 1)</f>
        <v/>
      </c>
      <c r="O165" t="str">
        <f>IF(E165=0,"","Q"&amp;INT(4*( RANK(E165, IF($E$2:$E$269&lt;&gt;0, $E$2:$E$269), 0) - 1 ) / COUNTIF($E$2:$E$269,"&gt;0")) + 1)</f>
        <v>Q3</v>
      </c>
      <c r="P165" t="str">
        <f>IF(F165=0,"","Q"&amp;INT(4*( RANK(F165, IF($F$2:$F$269&lt;&gt;0, $F$2:$F$269), 0) - 1 ) / COUNTIF($F$2:$F$269,"&gt;0")) + 1)</f>
        <v/>
      </c>
      <c r="Q165" t="str">
        <f>IF(G165=0,"","Q"&amp;INT(4*( RANK(G165, IF($G$2:$G$269&lt;&gt;0, $G$2:$G$269), 0) - 1 ) / COUNTIF($G$2:$G$269,"&gt;0")) + 1)</f>
        <v/>
      </c>
      <c r="R165" t="str">
        <f>IF(H165=0,"","Q"&amp;INT(4*( RANK(H165, IF($H$2:$H$269&lt;&gt;0, $H$2:$H$269), 0) - 1 ) / COUNTIF($H$2:$H$269,"&gt;0")) + 1)</f>
        <v/>
      </c>
      <c r="S165" t="str">
        <f>IF(I165=0,"","Q"&amp;INT(4*( RANK(I165, IF($I$2:$I$269&lt;&gt;0, $I$2:$I$269), 0) - 1 ) / COUNTIF($I$2:$I$269,"&gt;0")) + 1)</f>
        <v/>
      </c>
      <c r="T165" t="str">
        <f>IF(J165=0,"","Q"&amp;INT(4*( RANK(J165, IF($J$2:$J$269&lt;&gt;0, $J$2:$J$269), 0) - 1 ) / COUNTIF($J$2:$J$269,"&gt;0")) + 1)</f>
        <v/>
      </c>
      <c r="U165" t="str">
        <f>IF(K165=0,"","Q"&amp;INT(4*( RANK(K165, IF($K$2:$K$269&lt;&gt;0, $K$2:$K$269), 0) - 1 ) / COUNTIF($K$2:$K$269,"&gt;0")) + 1)</f>
        <v/>
      </c>
    </row>
    <row r="166" spans="1:21" x14ac:dyDescent="0.2">
      <c r="A166" t="s">
        <v>242</v>
      </c>
      <c r="B166" s="2">
        <v>0</v>
      </c>
      <c r="C166" s="2">
        <v>0</v>
      </c>
      <c r="D166" s="2">
        <v>0</v>
      </c>
      <c r="E166" s="2">
        <v>4.2016806722688996E-3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t="str">
        <f>IF(B166=0,"","Q"&amp;INT(4*( RANK(B166, IF($B$2:$B$269&lt;&gt;0, $B$2:$B$269), 0) - 1 ) / COUNTIF($B$2:$B$269,"&gt;0")) + 1)</f>
        <v/>
      </c>
      <c r="M166" t="str">
        <f>IF(C166=0,"","Q"&amp;INT(4*( RANK(C166, IF($C$2:$C$269&lt;&gt;0, $C$2:$C$269), 0) - 1 ) / COUNTIF($C$2:$C$269,"&gt;0")) + 1)</f>
        <v/>
      </c>
      <c r="N166" t="str">
        <f>IF(D166=0,"","Q"&amp;INT(4*( RANK(D166, IF($D$2:$D$269&lt;&gt;0, $D$2:$D$269), 0) - 1 ) / COUNTIF($D$2:$D$269,"&gt;0")) + 1)</f>
        <v/>
      </c>
      <c r="O166" t="str">
        <f>IF(E166=0,"","Q"&amp;INT(4*( RANK(E166, IF($E$2:$E$269&lt;&gt;0, $E$2:$E$269), 0) - 1 ) / COUNTIF($E$2:$E$269,"&gt;0")) + 1)</f>
        <v>Q4</v>
      </c>
      <c r="P166" t="str">
        <f>IF(F166=0,"","Q"&amp;INT(4*( RANK(F166, IF($F$2:$F$269&lt;&gt;0, $F$2:$F$269), 0) - 1 ) / COUNTIF($F$2:$F$269,"&gt;0")) + 1)</f>
        <v/>
      </c>
      <c r="Q166" t="str">
        <f>IF(G166=0,"","Q"&amp;INT(4*( RANK(G166, IF($G$2:$G$269&lt;&gt;0, $G$2:$G$269), 0) - 1 ) / COUNTIF($G$2:$G$269,"&gt;0")) + 1)</f>
        <v/>
      </c>
      <c r="R166" t="str">
        <f>IF(H166=0,"","Q"&amp;INT(4*( RANK(H166, IF($H$2:$H$269&lt;&gt;0, $H$2:$H$269), 0) - 1 ) / COUNTIF($H$2:$H$269,"&gt;0")) + 1)</f>
        <v/>
      </c>
      <c r="S166" t="str">
        <f>IF(I166=0,"","Q"&amp;INT(4*( RANK(I166, IF($I$2:$I$269&lt;&gt;0, $I$2:$I$269), 0) - 1 ) / COUNTIF($I$2:$I$269,"&gt;0")) + 1)</f>
        <v/>
      </c>
      <c r="T166" t="str">
        <f>IF(J166=0,"","Q"&amp;INT(4*( RANK(J166, IF($J$2:$J$269&lt;&gt;0, $J$2:$J$269), 0) - 1 ) / COUNTIF($J$2:$J$269,"&gt;0")) + 1)</f>
        <v/>
      </c>
      <c r="U166" t="str">
        <f>IF(K166=0,"","Q"&amp;INT(4*( RANK(K166, IF($K$2:$K$269&lt;&gt;0, $K$2:$K$269), 0) - 1 ) / COUNTIF($K$2:$K$269,"&gt;0")) + 1)</f>
        <v/>
      </c>
    </row>
    <row r="167" spans="1:21" x14ac:dyDescent="0.2">
      <c r="A167" t="s">
        <v>243</v>
      </c>
      <c r="B167" s="2">
        <v>0</v>
      </c>
      <c r="C167" s="2">
        <v>0</v>
      </c>
      <c r="D167" s="2">
        <v>0</v>
      </c>
      <c r="E167" s="2">
        <v>4.2016806722688996E-3</v>
      </c>
      <c r="F167" s="2">
        <v>0.15384615384615299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t="str">
        <f>IF(B167=0,"","Q"&amp;INT(4*( RANK(B167, IF($B$2:$B$269&lt;&gt;0, $B$2:$B$269), 0) - 1 ) / COUNTIF($B$2:$B$269,"&gt;0")) + 1)</f>
        <v/>
      </c>
      <c r="M167" t="str">
        <f>IF(C167=0,"","Q"&amp;INT(4*( RANK(C167, IF($C$2:$C$269&lt;&gt;0, $C$2:$C$269), 0) - 1 ) / COUNTIF($C$2:$C$269,"&gt;0")) + 1)</f>
        <v/>
      </c>
      <c r="N167" t="str">
        <f>IF(D167=0,"","Q"&amp;INT(4*( RANK(D167, IF($D$2:$D$269&lt;&gt;0, $D$2:$D$269), 0) - 1 ) / COUNTIF($D$2:$D$269,"&gt;0")) + 1)</f>
        <v/>
      </c>
      <c r="O167" t="str">
        <f>IF(E167=0,"","Q"&amp;INT(4*( RANK(E167, IF($E$2:$E$269&lt;&gt;0, $E$2:$E$269), 0) - 1 ) / COUNTIF($E$2:$E$269,"&gt;0")) + 1)</f>
        <v>Q4</v>
      </c>
      <c r="P167" t="str">
        <f>IF(F167=0,"","Q"&amp;INT(4*( RANK(F167, IF($F$2:$F$269&lt;&gt;0, $F$2:$F$269), 0) - 1 ) / COUNTIF($F$2:$F$269,"&gt;0")) + 1)</f>
        <v>Q1</v>
      </c>
      <c r="Q167" t="str">
        <f>IF(G167=0,"","Q"&amp;INT(4*( RANK(G167, IF($G$2:$G$269&lt;&gt;0, $G$2:$G$269), 0) - 1 ) / COUNTIF($G$2:$G$269,"&gt;0")) + 1)</f>
        <v/>
      </c>
      <c r="R167" t="str">
        <f>IF(H167=0,"","Q"&amp;INT(4*( RANK(H167, IF($H$2:$H$269&lt;&gt;0, $H$2:$H$269), 0) - 1 ) / COUNTIF($H$2:$H$269,"&gt;0")) + 1)</f>
        <v/>
      </c>
      <c r="S167" t="str">
        <f>IF(I167=0,"","Q"&amp;INT(4*( RANK(I167, IF($I$2:$I$269&lt;&gt;0, $I$2:$I$269), 0) - 1 ) / COUNTIF($I$2:$I$269,"&gt;0")) + 1)</f>
        <v/>
      </c>
      <c r="T167" t="str">
        <f>IF(J167=0,"","Q"&amp;INT(4*( RANK(J167, IF($J$2:$J$269&lt;&gt;0, $J$2:$J$269), 0) - 1 ) / COUNTIF($J$2:$J$269,"&gt;0")) + 1)</f>
        <v/>
      </c>
      <c r="U167" t="str">
        <f>IF(K167=0,"","Q"&amp;INT(4*( RANK(K167, IF($K$2:$K$269&lt;&gt;0, $K$2:$K$269), 0) - 1 ) / COUNTIF($K$2:$K$269,"&gt;0")) + 1)</f>
        <v/>
      </c>
    </row>
    <row r="168" spans="1:21" x14ac:dyDescent="0.2">
      <c r="A168" t="s">
        <v>244</v>
      </c>
      <c r="B168" s="2">
        <v>0</v>
      </c>
      <c r="C168" s="2">
        <v>0</v>
      </c>
      <c r="D168" s="2">
        <v>0</v>
      </c>
      <c r="E168" s="2">
        <v>0</v>
      </c>
      <c r="F168" s="2">
        <v>7.69230769230769E-2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t="str">
        <f>IF(B168=0,"","Q"&amp;INT(4*( RANK(B168, IF($B$2:$B$269&lt;&gt;0, $B$2:$B$269), 0) - 1 ) / COUNTIF($B$2:$B$269,"&gt;0")) + 1)</f>
        <v/>
      </c>
      <c r="M168" t="str">
        <f>IF(C168=0,"","Q"&amp;INT(4*( RANK(C168, IF($C$2:$C$269&lt;&gt;0, $C$2:$C$269), 0) - 1 ) / COUNTIF($C$2:$C$269,"&gt;0")) + 1)</f>
        <v/>
      </c>
      <c r="N168" t="str">
        <f>IF(D168=0,"","Q"&amp;INT(4*( RANK(D168, IF($D$2:$D$269&lt;&gt;0, $D$2:$D$269), 0) - 1 ) / COUNTIF($D$2:$D$269,"&gt;0")) + 1)</f>
        <v/>
      </c>
      <c r="O168" t="str">
        <f>IF(E168=0,"","Q"&amp;INT(4*( RANK(E168, IF($E$2:$E$269&lt;&gt;0, $E$2:$E$269), 0) - 1 ) / COUNTIF($E$2:$E$269,"&gt;0")) + 1)</f>
        <v/>
      </c>
      <c r="P168" t="str">
        <f>IF(F168=0,"","Q"&amp;INT(4*( RANK(F168, IF($F$2:$F$269&lt;&gt;0, $F$2:$F$269), 0) - 1 ) / COUNTIF($F$2:$F$269,"&gt;0")) + 1)</f>
        <v>Q3</v>
      </c>
      <c r="Q168" t="str">
        <f>IF(G168=0,"","Q"&amp;INT(4*( RANK(G168, IF($G$2:$G$269&lt;&gt;0, $G$2:$G$269), 0) - 1 ) / COUNTIF($G$2:$G$269,"&gt;0")) + 1)</f>
        <v/>
      </c>
      <c r="R168" t="str">
        <f>IF(H168=0,"","Q"&amp;INT(4*( RANK(H168, IF($H$2:$H$269&lt;&gt;0, $H$2:$H$269), 0) - 1 ) / COUNTIF($H$2:$H$269,"&gt;0")) + 1)</f>
        <v/>
      </c>
      <c r="S168" t="str">
        <f>IF(I168=0,"","Q"&amp;INT(4*( RANK(I168, IF($I$2:$I$269&lt;&gt;0, $I$2:$I$269), 0) - 1 ) / COUNTIF($I$2:$I$269,"&gt;0")) + 1)</f>
        <v/>
      </c>
      <c r="T168" t="str">
        <f>IF(J168=0,"","Q"&amp;INT(4*( RANK(J168, IF($J$2:$J$269&lt;&gt;0, $J$2:$J$269), 0) - 1 ) / COUNTIF($J$2:$J$269,"&gt;0")) + 1)</f>
        <v/>
      </c>
      <c r="U168" t="str">
        <f>IF(K168=0,"","Q"&amp;INT(4*( RANK(K168, IF($K$2:$K$269&lt;&gt;0, $K$2:$K$269), 0) - 1 ) / COUNTIF($K$2:$K$269,"&gt;0")) + 1)</f>
        <v/>
      </c>
    </row>
    <row r="169" spans="1:21" x14ac:dyDescent="0.2">
      <c r="A169" t="s">
        <v>991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0.17647058823529399</v>
      </c>
      <c r="L169" t="str">
        <f>IF(B169=0,"","Q"&amp;INT(4*( RANK(B169, IF($B$2:$B$269&lt;&gt;0, $B$2:$B$269), 0) - 1 ) / COUNTIF($B$2:$B$269,"&gt;0")) + 1)</f>
        <v/>
      </c>
      <c r="M169" t="str">
        <f>IF(C169=0,"","Q"&amp;INT(4*( RANK(C169, IF($C$2:$C$269&lt;&gt;0, $C$2:$C$269), 0) - 1 ) / COUNTIF($C$2:$C$269,"&gt;0")) + 1)</f>
        <v/>
      </c>
      <c r="N169" t="str">
        <f>IF(D169=0,"","Q"&amp;INT(4*( RANK(D169, IF($D$2:$D$269&lt;&gt;0, $D$2:$D$269), 0) - 1 ) / COUNTIF($D$2:$D$269,"&gt;0")) + 1)</f>
        <v/>
      </c>
      <c r="O169" t="str">
        <f>IF(E169=0,"","Q"&amp;INT(4*( RANK(E169, IF($E$2:$E$269&lt;&gt;0, $E$2:$E$269), 0) - 1 ) / COUNTIF($E$2:$E$269,"&gt;0")) + 1)</f>
        <v/>
      </c>
      <c r="P169" t="str">
        <f>IF(F169=0,"","Q"&amp;INT(4*( RANK(F169, IF($F$2:$F$269&lt;&gt;0, $F$2:$F$269), 0) - 1 ) / COUNTIF($F$2:$F$269,"&gt;0")) + 1)</f>
        <v/>
      </c>
      <c r="Q169" t="str">
        <f>IF(G169=0,"","Q"&amp;INT(4*( RANK(G169, IF($G$2:$G$269&lt;&gt;0, $G$2:$G$269), 0) - 1 ) / COUNTIF($G$2:$G$269,"&gt;0")) + 1)</f>
        <v/>
      </c>
      <c r="R169" t="str">
        <f>IF(H169=0,"","Q"&amp;INT(4*( RANK(H169, IF($H$2:$H$269&lt;&gt;0, $H$2:$H$269), 0) - 1 ) / COUNTIF($H$2:$H$269,"&gt;0")) + 1)</f>
        <v/>
      </c>
      <c r="S169" t="str">
        <f>IF(I169=0,"","Q"&amp;INT(4*( RANK(I169, IF($I$2:$I$269&lt;&gt;0, $I$2:$I$269), 0) - 1 ) / COUNTIF($I$2:$I$269,"&gt;0")) + 1)</f>
        <v/>
      </c>
      <c r="T169" t="str">
        <f>IF(J169=0,"","Q"&amp;INT(4*( RANK(J169, IF($J$2:$J$269&lt;&gt;0, $J$2:$J$269), 0) - 1 ) / COUNTIF($J$2:$J$269,"&gt;0")) + 1)</f>
        <v/>
      </c>
      <c r="U169" t="str">
        <f>IF(K169=0,"","Q"&amp;INT(4*( RANK(K169, IF($K$2:$K$269&lt;&gt;0, $K$2:$K$269), 0) - 1 ) / COUNTIF($K$2:$K$269,"&gt;0")) + 1)</f>
        <v>Q2</v>
      </c>
    </row>
    <row r="170" spans="1:21" x14ac:dyDescent="0.2">
      <c r="A170" t="s">
        <v>246</v>
      </c>
      <c r="B170" s="2">
        <v>0</v>
      </c>
      <c r="C170" s="2">
        <v>0</v>
      </c>
      <c r="D170" s="2">
        <v>0</v>
      </c>
      <c r="E170" s="2">
        <v>2.1008403361344501E-2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0.17647058823529399</v>
      </c>
      <c r="L170" t="str">
        <f>IF(B170=0,"","Q"&amp;INT(4*( RANK(B170, IF($B$2:$B$269&lt;&gt;0, $B$2:$B$269), 0) - 1 ) / COUNTIF($B$2:$B$269,"&gt;0")) + 1)</f>
        <v/>
      </c>
      <c r="M170" t="str">
        <f>IF(C170=0,"","Q"&amp;INT(4*( RANK(C170, IF($C$2:$C$269&lt;&gt;0, $C$2:$C$269), 0) - 1 ) / COUNTIF($C$2:$C$269,"&gt;0")) + 1)</f>
        <v/>
      </c>
      <c r="N170" t="str">
        <f>IF(D170=0,"","Q"&amp;INT(4*( RANK(D170, IF($D$2:$D$269&lt;&gt;0, $D$2:$D$269), 0) - 1 ) / COUNTIF($D$2:$D$269,"&gt;0")) + 1)</f>
        <v/>
      </c>
      <c r="O170" t="str">
        <f>IF(E170=0,"","Q"&amp;INT(4*( RANK(E170, IF($E$2:$E$269&lt;&gt;0, $E$2:$E$269), 0) - 1 ) / COUNTIF($E$2:$E$269,"&gt;0")) + 1)</f>
        <v>Q2</v>
      </c>
      <c r="P170" t="str">
        <f>IF(F170=0,"","Q"&amp;INT(4*( RANK(F170, IF($F$2:$F$269&lt;&gt;0, $F$2:$F$269), 0) - 1 ) / COUNTIF($F$2:$F$269,"&gt;0")) + 1)</f>
        <v/>
      </c>
      <c r="Q170" t="str">
        <f>IF(G170=0,"","Q"&amp;INT(4*( RANK(G170, IF($G$2:$G$269&lt;&gt;0, $G$2:$G$269), 0) - 1 ) / COUNTIF($G$2:$G$269,"&gt;0")) + 1)</f>
        <v/>
      </c>
      <c r="R170" t="str">
        <f>IF(H170=0,"","Q"&amp;INT(4*( RANK(H170, IF($H$2:$H$269&lt;&gt;0, $H$2:$H$269), 0) - 1 ) / COUNTIF($H$2:$H$269,"&gt;0")) + 1)</f>
        <v/>
      </c>
      <c r="S170" t="str">
        <f>IF(I170=0,"","Q"&amp;INT(4*( RANK(I170, IF($I$2:$I$269&lt;&gt;0, $I$2:$I$269), 0) - 1 ) / COUNTIF($I$2:$I$269,"&gt;0")) + 1)</f>
        <v/>
      </c>
      <c r="T170" t="str">
        <f>IF(J170=0,"","Q"&amp;INT(4*( RANK(J170, IF($J$2:$J$269&lt;&gt;0, $J$2:$J$269), 0) - 1 ) / COUNTIF($J$2:$J$269,"&gt;0")) + 1)</f>
        <v/>
      </c>
      <c r="U170" t="str">
        <f>IF(K170=0,"","Q"&amp;INT(4*( RANK(K170, IF($K$2:$K$269&lt;&gt;0, $K$2:$K$269), 0) - 1 ) / COUNTIF($K$2:$K$269,"&gt;0")) + 1)</f>
        <v>Q2</v>
      </c>
    </row>
    <row r="171" spans="1:21" x14ac:dyDescent="0.2">
      <c r="A171" t="s">
        <v>247</v>
      </c>
      <c r="B171" s="2">
        <v>0.6</v>
      </c>
      <c r="C171" s="2">
        <v>1</v>
      </c>
      <c r="D171" s="2">
        <v>0.238095238095238</v>
      </c>
      <c r="E171" s="2">
        <v>0.83193277310924296</v>
      </c>
      <c r="F171" s="2">
        <v>0.46153846153846101</v>
      </c>
      <c r="G171" s="2">
        <v>0</v>
      </c>
      <c r="H171" s="2">
        <v>1.1111111111111101</v>
      </c>
      <c r="I171" s="2">
        <v>0</v>
      </c>
      <c r="J171" s="2">
        <v>0.30232558139534799</v>
      </c>
      <c r="K171" s="2">
        <v>0.17647058823529399</v>
      </c>
      <c r="L171" t="str">
        <f>IF(B171=0,"","Q"&amp;INT(4*( RANK(B171, IF($B$2:$B$269&lt;&gt;0, $B$2:$B$269), 0) - 1 ) / COUNTIF($B$2:$B$269,"&gt;0")) + 1)</f>
        <v>Q2</v>
      </c>
      <c r="M171" t="str">
        <f>IF(C171=0,"","Q"&amp;INT(4*( RANK(C171, IF($C$2:$C$269&lt;&gt;0, $C$2:$C$269), 0) - 1 ) / COUNTIF($C$2:$C$269,"&gt;0")) + 1)</f>
        <v>Q1</v>
      </c>
      <c r="N171" t="str">
        <f>IF(D171=0,"","Q"&amp;INT(4*( RANK(D171, IF($D$2:$D$269&lt;&gt;0, $D$2:$D$269), 0) - 1 ) / COUNTIF($D$2:$D$269,"&gt;0")) + 1)</f>
        <v>Q2</v>
      </c>
      <c r="O171" t="str">
        <f>IF(E171=0,"","Q"&amp;INT(4*( RANK(E171, IF($E$2:$E$269&lt;&gt;0, $E$2:$E$269), 0) - 1 ) / COUNTIF($E$2:$E$269,"&gt;0")) + 1)</f>
        <v>Q1</v>
      </c>
      <c r="P171" t="str">
        <f>IF(F171=0,"","Q"&amp;INT(4*( RANK(F171, IF($F$2:$F$269&lt;&gt;0, $F$2:$F$269), 0) - 1 ) / COUNTIF($F$2:$F$269,"&gt;0")) + 1)</f>
        <v>Q1</v>
      </c>
      <c r="Q171" t="str">
        <f>IF(G171=0,"","Q"&amp;INT(4*( RANK(G171, IF($G$2:$G$269&lt;&gt;0, $G$2:$G$269), 0) - 1 ) / COUNTIF($G$2:$G$269,"&gt;0")) + 1)</f>
        <v/>
      </c>
      <c r="R171" t="str">
        <f>IF(H171=0,"","Q"&amp;INT(4*( RANK(H171, IF($H$2:$H$269&lt;&gt;0, $H$2:$H$269), 0) - 1 ) / COUNTIF($H$2:$H$269,"&gt;0")) + 1)</f>
        <v>Q1</v>
      </c>
      <c r="S171" t="str">
        <f>IF(I171=0,"","Q"&amp;INT(4*( RANK(I171, IF($I$2:$I$269&lt;&gt;0, $I$2:$I$269), 0) - 1 ) / COUNTIF($I$2:$I$269,"&gt;0")) + 1)</f>
        <v/>
      </c>
      <c r="T171" t="str">
        <f>IF(J171=0,"","Q"&amp;INT(4*( RANK(J171, IF($J$2:$J$269&lt;&gt;0, $J$2:$J$269), 0) - 1 ) / COUNTIF($J$2:$J$269,"&gt;0")) + 1)</f>
        <v>Q1</v>
      </c>
      <c r="U171" t="str">
        <f>IF(K171=0,"","Q"&amp;INT(4*( RANK(K171, IF($K$2:$K$269&lt;&gt;0, $K$2:$K$269), 0) - 1 ) / COUNTIF($K$2:$K$269,"&gt;0")) + 1)</f>
        <v>Q2</v>
      </c>
    </row>
    <row r="172" spans="1:21" x14ac:dyDescent="0.2">
      <c r="A172" t="s">
        <v>992</v>
      </c>
      <c r="B172" s="2">
        <v>0</v>
      </c>
      <c r="C172" s="2">
        <v>0</v>
      </c>
      <c r="D172" s="2">
        <v>0</v>
      </c>
      <c r="E172" s="2">
        <v>8.4033613445378096E-3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t="str">
        <f>IF(B172=0,"","Q"&amp;INT(4*( RANK(B172, IF($B$2:$B$269&lt;&gt;0, $B$2:$B$269), 0) - 1 ) / COUNTIF($B$2:$B$269,"&gt;0")) + 1)</f>
        <v/>
      </c>
      <c r="M172" t="str">
        <f>IF(C172=0,"","Q"&amp;INT(4*( RANK(C172, IF($C$2:$C$269&lt;&gt;0, $C$2:$C$269), 0) - 1 ) / COUNTIF($C$2:$C$269,"&gt;0")) + 1)</f>
        <v/>
      </c>
      <c r="N172" t="str">
        <f>IF(D172=0,"","Q"&amp;INT(4*( RANK(D172, IF($D$2:$D$269&lt;&gt;0, $D$2:$D$269), 0) - 1 ) / COUNTIF($D$2:$D$269,"&gt;0")) + 1)</f>
        <v/>
      </c>
      <c r="O172" t="str">
        <f>IF(E172=0,"","Q"&amp;INT(4*( RANK(E172, IF($E$2:$E$269&lt;&gt;0, $E$2:$E$269), 0) - 1 ) / COUNTIF($E$2:$E$269,"&gt;0")) + 1)</f>
        <v>Q3</v>
      </c>
      <c r="P172" t="str">
        <f>IF(F172=0,"","Q"&amp;INT(4*( RANK(F172, IF($F$2:$F$269&lt;&gt;0, $F$2:$F$269), 0) - 1 ) / COUNTIF($F$2:$F$269,"&gt;0")) + 1)</f>
        <v/>
      </c>
      <c r="Q172" t="str">
        <f>IF(G172=0,"","Q"&amp;INT(4*( RANK(G172, IF($G$2:$G$269&lt;&gt;0, $G$2:$G$269), 0) - 1 ) / COUNTIF($G$2:$G$269,"&gt;0")) + 1)</f>
        <v/>
      </c>
      <c r="R172" t="str">
        <f>IF(H172=0,"","Q"&amp;INT(4*( RANK(H172, IF($H$2:$H$269&lt;&gt;0, $H$2:$H$269), 0) - 1 ) / COUNTIF($H$2:$H$269,"&gt;0")) + 1)</f>
        <v/>
      </c>
      <c r="S172" t="str">
        <f>IF(I172=0,"","Q"&amp;INT(4*( RANK(I172, IF($I$2:$I$269&lt;&gt;0, $I$2:$I$269), 0) - 1 ) / COUNTIF($I$2:$I$269,"&gt;0")) + 1)</f>
        <v/>
      </c>
      <c r="T172" t="str">
        <f>IF(J172=0,"","Q"&amp;INT(4*( RANK(J172, IF($J$2:$J$269&lt;&gt;0, $J$2:$J$269), 0) - 1 ) / COUNTIF($J$2:$J$269,"&gt;0")) + 1)</f>
        <v/>
      </c>
      <c r="U172" t="str">
        <f>IF(K172=0,"","Q"&amp;INT(4*( RANK(K172, IF($K$2:$K$269&lt;&gt;0, $K$2:$K$269), 0) - 1 ) / COUNTIF($K$2:$K$269,"&gt;0")) + 1)</f>
        <v/>
      </c>
    </row>
    <row r="173" spans="1:21" x14ac:dyDescent="0.2">
      <c r="A173" t="s">
        <v>993</v>
      </c>
      <c r="B173" s="2">
        <v>0</v>
      </c>
      <c r="C173" s="2">
        <v>0</v>
      </c>
      <c r="D173" s="2">
        <v>0</v>
      </c>
      <c r="E173" s="2">
        <v>8.4033613445378096E-3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t="str">
        <f>IF(B173=0,"","Q"&amp;INT(4*( RANK(B173, IF($B$2:$B$269&lt;&gt;0, $B$2:$B$269), 0) - 1 ) / COUNTIF($B$2:$B$269,"&gt;0")) + 1)</f>
        <v/>
      </c>
      <c r="M173" t="str">
        <f>IF(C173=0,"","Q"&amp;INT(4*( RANK(C173, IF($C$2:$C$269&lt;&gt;0, $C$2:$C$269), 0) - 1 ) / COUNTIF($C$2:$C$269,"&gt;0")) + 1)</f>
        <v/>
      </c>
      <c r="N173" t="str">
        <f>IF(D173=0,"","Q"&amp;INT(4*( RANK(D173, IF($D$2:$D$269&lt;&gt;0, $D$2:$D$269), 0) - 1 ) / COUNTIF($D$2:$D$269,"&gt;0")) + 1)</f>
        <v/>
      </c>
      <c r="O173" t="str">
        <f>IF(E173=0,"","Q"&amp;INT(4*( RANK(E173, IF($E$2:$E$269&lt;&gt;0, $E$2:$E$269), 0) - 1 ) / COUNTIF($E$2:$E$269,"&gt;0")) + 1)</f>
        <v>Q3</v>
      </c>
      <c r="P173" t="str">
        <f>IF(F173=0,"","Q"&amp;INT(4*( RANK(F173, IF($F$2:$F$269&lt;&gt;0, $F$2:$F$269), 0) - 1 ) / COUNTIF($F$2:$F$269,"&gt;0")) + 1)</f>
        <v/>
      </c>
      <c r="Q173" t="str">
        <f>IF(G173=0,"","Q"&amp;INT(4*( RANK(G173, IF($G$2:$G$269&lt;&gt;0, $G$2:$G$269), 0) - 1 ) / COUNTIF($G$2:$G$269,"&gt;0")) + 1)</f>
        <v/>
      </c>
      <c r="R173" t="str">
        <f>IF(H173=0,"","Q"&amp;INT(4*( RANK(H173, IF($H$2:$H$269&lt;&gt;0, $H$2:$H$269), 0) - 1 ) / COUNTIF($H$2:$H$269,"&gt;0")) + 1)</f>
        <v/>
      </c>
      <c r="S173" t="str">
        <f>IF(I173=0,"","Q"&amp;INT(4*( RANK(I173, IF($I$2:$I$269&lt;&gt;0, $I$2:$I$269), 0) - 1 ) / COUNTIF($I$2:$I$269,"&gt;0")) + 1)</f>
        <v/>
      </c>
      <c r="T173" t="str">
        <f>IF(J173=0,"","Q"&amp;INT(4*( RANK(J173, IF($J$2:$J$269&lt;&gt;0, $J$2:$J$269), 0) - 1 ) / COUNTIF($J$2:$J$269,"&gt;0")) + 1)</f>
        <v/>
      </c>
      <c r="U173" t="str">
        <f>IF(K173=0,"","Q"&amp;INT(4*( RANK(K173, IF($K$2:$K$269&lt;&gt;0, $K$2:$K$269), 0) - 1 ) / COUNTIF($K$2:$K$269,"&gt;0")) + 1)</f>
        <v/>
      </c>
    </row>
    <row r="174" spans="1:21" x14ac:dyDescent="0.2">
      <c r="A174" t="s">
        <v>994</v>
      </c>
      <c r="B174" s="2">
        <v>0</v>
      </c>
      <c r="C174" s="2">
        <v>0</v>
      </c>
      <c r="D174" s="2">
        <v>0</v>
      </c>
      <c r="E174" s="2">
        <v>3.7815126050420103E-2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t="str">
        <f>IF(B174=0,"","Q"&amp;INT(4*( RANK(B174, IF($B$2:$B$269&lt;&gt;0, $B$2:$B$269), 0) - 1 ) / COUNTIF($B$2:$B$269,"&gt;0")) + 1)</f>
        <v/>
      </c>
      <c r="M174" t="str">
        <f>IF(C174=0,"","Q"&amp;INT(4*( RANK(C174, IF($C$2:$C$269&lt;&gt;0, $C$2:$C$269), 0) - 1 ) / COUNTIF($C$2:$C$269,"&gt;0")) + 1)</f>
        <v/>
      </c>
      <c r="N174" t="str">
        <f>IF(D174=0,"","Q"&amp;INT(4*( RANK(D174, IF($D$2:$D$269&lt;&gt;0, $D$2:$D$269), 0) - 1 ) / COUNTIF($D$2:$D$269,"&gt;0")) + 1)</f>
        <v/>
      </c>
      <c r="O174" t="str">
        <f>IF(E174=0,"","Q"&amp;INT(4*( RANK(E174, IF($E$2:$E$269&lt;&gt;0, $E$2:$E$269), 0) - 1 ) / COUNTIF($E$2:$E$269,"&gt;0")) + 1)</f>
        <v>Q1</v>
      </c>
      <c r="P174" t="str">
        <f>IF(F174=0,"","Q"&amp;INT(4*( RANK(F174, IF($F$2:$F$269&lt;&gt;0, $F$2:$F$269), 0) - 1 ) / COUNTIF($F$2:$F$269,"&gt;0")) + 1)</f>
        <v/>
      </c>
      <c r="Q174" t="str">
        <f>IF(G174=0,"","Q"&amp;INT(4*( RANK(G174, IF($G$2:$G$269&lt;&gt;0, $G$2:$G$269), 0) - 1 ) / COUNTIF($G$2:$G$269,"&gt;0")) + 1)</f>
        <v/>
      </c>
      <c r="R174" t="str">
        <f>IF(H174=0,"","Q"&amp;INT(4*( RANK(H174, IF($H$2:$H$269&lt;&gt;0, $H$2:$H$269), 0) - 1 ) / COUNTIF($H$2:$H$269,"&gt;0")) + 1)</f>
        <v/>
      </c>
      <c r="S174" t="str">
        <f>IF(I174=0,"","Q"&amp;INT(4*( RANK(I174, IF($I$2:$I$269&lt;&gt;0, $I$2:$I$269), 0) - 1 ) / COUNTIF($I$2:$I$269,"&gt;0")) + 1)</f>
        <v/>
      </c>
      <c r="T174" t="str">
        <f>IF(J174=0,"","Q"&amp;INT(4*( RANK(J174, IF($J$2:$J$269&lt;&gt;0, $J$2:$J$269), 0) - 1 ) / COUNTIF($J$2:$J$269,"&gt;0")) + 1)</f>
        <v/>
      </c>
      <c r="U174" t="str">
        <f>IF(K174=0,"","Q"&amp;INT(4*( RANK(K174, IF($K$2:$K$269&lt;&gt;0, $K$2:$K$269), 0) - 1 ) / COUNTIF($K$2:$K$269,"&gt;0")) + 1)</f>
        <v/>
      </c>
    </row>
    <row r="175" spans="1:21" x14ac:dyDescent="0.2">
      <c r="A175" t="s">
        <v>995</v>
      </c>
      <c r="B175" s="2">
        <v>0</v>
      </c>
      <c r="C175" s="2">
        <v>0</v>
      </c>
      <c r="D175" s="2">
        <v>0</v>
      </c>
      <c r="E175" s="2">
        <v>8.4033613445378096E-3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t="str">
        <f>IF(B175=0,"","Q"&amp;INT(4*( RANK(B175, IF($B$2:$B$269&lt;&gt;0, $B$2:$B$269), 0) - 1 ) / COUNTIF($B$2:$B$269,"&gt;0")) + 1)</f>
        <v/>
      </c>
      <c r="M175" t="str">
        <f>IF(C175=0,"","Q"&amp;INT(4*( RANK(C175, IF($C$2:$C$269&lt;&gt;0, $C$2:$C$269), 0) - 1 ) / COUNTIF($C$2:$C$269,"&gt;0")) + 1)</f>
        <v/>
      </c>
      <c r="N175" t="str">
        <f>IF(D175=0,"","Q"&amp;INT(4*( RANK(D175, IF($D$2:$D$269&lt;&gt;0, $D$2:$D$269), 0) - 1 ) / COUNTIF($D$2:$D$269,"&gt;0")) + 1)</f>
        <v/>
      </c>
      <c r="O175" t="str">
        <f>IF(E175=0,"","Q"&amp;INT(4*( RANK(E175, IF($E$2:$E$269&lt;&gt;0, $E$2:$E$269), 0) - 1 ) / COUNTIF($E$2:$E$269,"&gt;0")) + 1)</f>
        <v>Q3</v>
      </c>
      <c r="P175" t="str">
        <f>IF(F175=0,"","Q"&amp;INT(4*( RANK(F175, IF($F$2:$F$269&lt;&gt;0, $F$2:$F$269), 0) - 1 ) / COUNTIF($F$2:$F$269,"&gt;0")) + 1)</f>
        <v/>
      </c>
      <c r="Q175" t="str">
        <f>IF(G175=0,"","Q"&amp;INT(4*( RANK(G175, IF($G$2:$G$269&lt;&gt;0, $G$2:$G$269), 0) - 1 ) / COUNTIF($G$2:$G$269,"&gt;0")) + 1)</f>
        <v/>
      </c>
      <c r="R175" t="str">
        <f>IF(H175=0,"","Q"&amp;INT(4*( RANK(H175, IF($H$2:$H$269&lt;&gt;0, $H$2:$H$269), 0) - 1 ) / COUNTIF($H$2:$H$269,"&gt;0")) + 1)</f>
        <v/>
      </c>
      <c r="S175" t="str">
        <f>IF(I175=0,"","Q"&amp;INT(4*( RANK(I175, IF($I$2:$I$269&lt;&gt;0, $I$2:$I$269), 0) - 1 ) / COUNTIF($I$2:$I$269,"&gt;0")) + 1)</f>
        <v/>
      </c>
      <c r="T175" t="str">
        <f>IF(J175=0,"","Q"&amp;INT(4*( RANK(J175, IF($J$2:$J$269&lt;&gt;0, $J$2:$J$269), 0) - 1 ) / COUNTIF($J$2:$J$269,"&gt;0")) + 1)</f>
        <v/>
      </c>
      <c r="U175" t="str">
        <f>IF(K175=0,"","Q"&amp;INT(4*( RANK(K175, IF($K$2:$K$269&lt;&gt;0, $K$2:$K$269), 0) - 1 ) / COUNTIF($K$2:$K$269,"&gt;0")) + 1)</f>
        <v/>
      </c>
    </row>
    <row r="176" spans="1:21" x14ac:dyDescent="0.2">
      <c r="A176" t="s">
        <v>1069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4.6511627906976702E-2</v>
      </c>
      <c r="K176" s="2">
        <v>0</v>
      </c>
      <c r="L176" t="str">
        <f>IF(B176=0,"","Q"&amp;INT(4*( RANK(B176, IF($B$2:$B$269&lt;&gt;0, $B$2:$B$269), 0) - 1 ) / COUNTIF($B$2:$B$269,"&gt;0")) + 1)</f>
        <v/>
      </c>
      <c r="M176" t="str">
        <f>IF(C176=0,"","Q"&amp;INT(4*( RANK(C176, IF($C$2:$C$269&lt;&gt;0, $C$2:$C$269), 0) - 1 ) / COUNTIF($C$2:$C$269,"&gt;0")) + 1)</f>
        <v/>
      </c>
      <c r="N176" t="str">
        <f>IF(D176=0,"","Q"&amp;INT(4*( RANK(D176, IF($D$2:$D$269&lt;&gt;0, $D$2:$D$269), 0) - 1 ) / COUNTIF($D$2:$D$269,"&gt;0")) + 1)</f>
        <v/>
      </c>
      <c r="O176" t="str">
        <f>IF(E176=0,"","Q"&amp;INT(4*( RANK(E176, IF($E$2:$E$269&lt;&gt;0, $E$2:$E$269), 0) - 1 ) / COUNTIF($E$2:$E$269,"&gt;0")) + 1)</f>
        <v/>
      </c>
      <c r="P176" t="str">
        <f>IF(F176=0,"","Q"&amp;INT(4*( RANK(F176, IF($F$2:$F$269&lt;&gt;0, $F$2:$F$269), 0) - 1 ) / COUNTIF($F$2:$F$269,"&gt;0")) + 1)</f>
        <v/>
      </c>
      <c r="Q176" t="str">
        <f>IF(G176=0,"","Q"&amp;INT(4*( RANK(G176, IF($G$2:$G$269&lt;&gt;0, $G$2:$G$269), 0) - 1 ) / COUNTIF($G$2:$G$269,"&gt;0")) + 1)</f>
        <v/>
      </c>
      <c r="R176" t="str">
        <f>IF(H176=0,"","Q"&amp;INT(4*( RANK(H176, IF($H$2:$H$269&lt;&gt;0, $H$2:$H$269), 0) - 1 ) / COUNTIF($H$2:$H$269,"&gt;0")) + 1)</f>
        <v/>
      </c>
      <c r="S176" t="str">
        <f>IF(I176=0,"","Q"&amp;INT(4*( RANK(I176, IF($I$2:$I$269&lt;&gt;0, $I$2:$I$269), 0) - 1 ) / COUNTIF($I$2:$I$269,"&gt;0")) + 1)</f>
        <v/>
      </c>
      <c r="T176" t="str">
        <f>IF(J176=0,"","Q"&amp;INT(4*( RANK(J176, IF($J$2:$J$269&lt;&gt;0, $J$2:$J$269), 0) - 1 ) / COUNTIF($J$2:$J$269,"&gt;0")) + 1)</f>
        <v>Q4</v>
      </c>
      <c r="U176" t="str">
        <f>IF(K176=0,"","Q"&amp;INT(4*( RANK(K176, IF($K$2:$K$269&lt;&gt;0, $K$2:$K$269), 0) - 1 ) / COUNTIF($K$2:$K$269,"&gt;0")) + 1)</f>
        <v/>
      </c>
    </row>
    <row r="177" spans="1:21" x14ac:dyDescent="0.2">
      <c r="A177" t="s">
        <v>253</v>
      </c>
      <c r="B177" s="2">
        <v>0</v>
      </c>
      <c r="C177" s="2">
        <v>0</v>
      </c>
      <c r="D177" s="2">
        <v>0</v>
      </c>
      <c r="E177" s="2">
        <v>8.4033613445378096E-3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t="str">
        <f>IF(B177=0,"","Q"&amp;INT(4*( RANK(B177, IF($B$2:$B$269&lt;&gt;0, $B$2:$B$269), 0) - 1 ) / COUNTIF($B$2:$B$269,"&gt;0")) + 1)</f>
        <v/>
      </c>
      <c r="M177" t="str">
        <f>IF(C177=0,"","Q"&amp;INT(4*( RANK(C177, IF($C$2:$C$269&lt;&gt;0, $C$2:$C$269), 0) - 1 ) / COUNTIF($C$2:$C$269,"&gt;0")) + 1)</f>
        <v/>
      </c>
      <c r="N177" t="str">
        <f>IF(D177=0,"","Q"&amp;INT(4*( RANK(D177, IF($D$2:$D$269&lt;&gt;0, $D$2:$D$269), 0) - 1 ) / COUNTIF($D$2:$D$269,"&gt;0")) + 1)</f>
        <v/>
      </c>
      <c r="O177" t="str">
        <f>IF(E177=0,"","Q"&amp;INT(4*( RANK(E177, IF($E$2:$E$269&lt;&gt;0, $E$2:$E$269), 0) - 1 ) / COUNTIF($E$2:$E$269,"&gt;0")) + 1)</f>
        <v>Q3</v>
      </c>
      <c r="P177" t="str">
        <f>IF(F177=0,"","Q"&amp;INT(4*( RANK(F177, IF($F$2:$F$269&lt;&gt;0, $F$2:$F$269), 0) - 1 ) / COUNTIF($F$2:$F$269,"&gt;0")) + 1)</f>
        <v/>
      </c>
      <c r="Q177" t="str">
        <f>IF(G177=0,"","Q"&amp;INT(4*( RANK(G177, IF($G$2:$G$269&lt;&gt;0, $G$2:$G$269), 0) - 1 ) / COUNTIF($G$2:$G$269,"&gt;0")) + 1)</f>
        <v/>
      </c>
      <c r="R177" t="str">
        <f>IF(H177=0,"","Q"&amp;INT(4*( RANK(H177, IF($H$2:$H$269&lt;&gt;0, $H$2:$H$269), 0) - 1 ) / COUNTIF($H$2:$H$269,"&gt;0")) + 1)</f>
        <v/>
      </c>
      <c r="S177" t="str">
        <f>IF(I177=0,"","Q"&amp;INT(4*( RANK(I177, IF($I$2:$I$269&lt;&gt;0, $I$2:$I$269), 0) - 1 ) / COUNTIF($I$2:$I$269,"&gt;0")) + 1)</f>
        <v/>
      </c>
      <c r="T177" t="str">
        <f>IF(J177=0,"","Q"&amp;INT(4*( RANK(J177, IF($J$2:$J$269&lt;&gt;0, $J$2:$J$269), 0) - 1 ) / COUNTIF($J$2:$J$269,"&gt;0")) + 1)</f>
        <v/>
      </c>
      <c r="U177" t="str">
        <f>IF(K177=0,"","Q"&amp;INT(4*( RANK(K177, IF($K$2:$K$269&lt;&gt;0, $K$2:$K$269), 0) - 1 ) / COUNTIF($K$2:$K$269,"&gt;0")) + 1)</f>
        <v/>
      </c>
    </row>
    <row r="178" spans="1:21" x14ac:dyDescent="0.2">
      <c r="A178" t="s">
        <v>996</v>
      </c>
      <c r="B178" s="2">
        <v>0</v>
      </c>
      <c r="C178" s="2">
        <v>0</v>
      </c>
      <c r="D178" s="2">
        <v>0</v>
      </c>
      <c r="E178" s="2">
        <v>8.4033613445378096E-3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t="str">
        <f>IF(B178=0,"","Q"&amp;INT(4*( RANK(B178, IF($B$2:$B$269&lt;&gt;0, $B$2:$B$269), 0) - 1 ) / COUNTIF($B$2:$B$269,"&gt;0")) + 1)</f>
        <v/>
      </c>
      <c r="M178" t="str">
        <f>IF(C178=0,"","Q"&amp;INT(4*( RANK(C178, IF($C$2:$C$269&lt;&gt;0, $C$2:$C$269), 0) - 1 ) / COUNTIF($C$2:$C$269,"&gt;0")) + 1)</f>
        <v/>
      </c>
      <c r="N178" t="str">
        <f>IF(D178=0,"","Q"&amp;INT(4*( RANK(D178, IF($D$2:$D$269&lt;&gt;0, $D$2:$D$269), 0) - 1 ) / COUNTIF($D$2:$D$269,"&gt;0")) + 1)</f>
        <v/>
      </c>
      <c r="O178" t="str">
        <f>IF(E178=0,"","Q"&amp;INT(4*( RANK(E178, IF($E$2:$E$269&lt;&gt;0, $E$2:$E$269), 0) - 1 ) / COUNTIF($E$2:$E$269,"&gt;0")) + 1)</f>
        <v>Q3</v>
      </c>
      <c r="P178" t="str">
        <f>IF(F178=0,"","Q"&amp;INT(4*( RANK(F178, IF($F$2:$F$269&lt;&gt;0, $F$2:$F$269), 0) - 1 ) / COUNTIF($F$2:$F$269,"&gt;0")) + 1)</f>
        <v/>
      </c>
      <c r="Q178" t="str">
        <f>IF(G178=0,"","Q"&amp;INT(4*( RANK(G178, IF($G$2:$G$269&lt;&gt;0, $G$2:$G$269), 0) - 1 ) / COUNTIF($G$2:$G$269,"&gt;0")) + 1)</f>
        <v/>
      </c>
      <c r="R178" t="str">
        <f>IF(H178=0,"","Q"&amp;INT(4*( RANK(H178, IF($H$2:$H$269&lt;&gt;0, $H$2:$H$269), 0) - 1 ) / COUNTIF($H$2:$H$269,"&gt;0")) + 1)</f>
        <v/>
      </c>
      <c r="S178" t="str">
        <f>IF(I178=0,"","Q"&amp;INT(4*( RANK(I178, IF($I$2:$I$269&lt;&gt;0, $I$2:$I$269), 0) - 1 ) / COUNTIF($I$2:$I$269,"&gt;0")) + 1)</f>
        <v/>
      </c>
      <c r="T178" t="str">
        <f>IF(J178=0,"","Q"&amp;INT(4*( RANK(J178, IF($J$2:$J$269&lt;&gt;0, $J$2:$J$269), 0) - 1 ) / COUNTIF($J$2:$J$269,"&gt;0")) + 1)</f>
        <v/>
      </c>
      <c r="U178" t="str">
        <f>IF(K178=0,"","Q"&amp;INT(4*( RANK(K178, IF($K$2:$K$269&lt;&gt;0, $K$2:$K$269), 0) - 1 ) / COUNTIF($K$2:$K$269,"&gt;0")) + 1)</f>
        <v/>
      </c>
    </row>
    <row r="179" spans="1:21" x14ac:dyDescent="0.2">
      <c r="A179" t="s">
        <v>255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2.3255813953488299E-2</v>
      </c>
      <c r="K179" s="2">
        <v>0</v>
      </c>
      <c r="L179" t="str">
        <f>IF(B179=0,"","Q"&amp;INT(4*( RANK(B179, IF($B$2:$B$269&lt;&gt;0, $B$2:$B$269), 0) - 1 ) / COUNTIF($B$2:$B$269,"&gt;0")) + 1)</f>
        <v/>
      </c>
      <c r="M179" t="str">
        <f>IF(C179=0,"","Q"&amp;INT(4*( RANK(C179, IF($C$2:$C$269&lt;&gt;0, $C$2:$C$269), 0) - 1 ) / COUNTIF($C$2:$C$269,"&gt;0")) + 1)</f>
        <v/>
      </c>
      <c r="N179" t="str">
        <f>IF(D179=0,"","Q"&amp;INT(4*( RANK(D179, IF($D$2:$D$269&lt;&gt;0, $D$2:$D$269), 0) - 1 ) / COUNTIF($D$2:$D$269,"&gt;0")) + 1)</f>
        <v/>
      </c>
      <c r="O179" t="str">
        <f>IF(E179=0,"","Q"&amp;INT(4*( RANK(E179, IF($E$2:$E$269&lt;&gt;0, $E$2:$E$269), 0) - 1 ) / COUNTIF($E$2:$E$269,"&gt;0")) + 1)</f>
        <v/>
      </c>
      <c r="P179" t="str">
        <f>IF(F179=0,"","Q"&amp;INT(4*( RANK(F179, IF($F$2:$F$269&lt;&gt;0, $F$2:$F$269), 0) - 1 ) / COUNTIF($F$2:$F$269,"&gt;0")) + 1)</f>
        <v/>
      </c>
      <c r="Q179" t="str">
        <f>IF(G179=0,"","Q"&amp;INT(4*( RANK(G179, IF($G$2:$G$269&lt;&gt;0, $G$2:$G$269), 0) - 1 ) / COUNTIF($G$2:$G$269,"&gt;0")) + 1)</f>
        <v/>
      </c>
      <c r="R179" t="str">
        <f>IF(H179=0,"","Q"&amp;INT(4*( RANK(H179, IF($H$2:$H$269&lt;&gt;0, $H$2:$H$269), 0) - 1 ) / COUNTIF($H$2:$H$269,"&gt;0")) + 1)</f>
        <v/>
      </c>
      <c r="S179" t="str">
        <f>IF(I179=0,"","Q"&amp;INT(4*( RANK(I179, IF($I$2:$I$269&lt;&gt;0, $I$2:$I$269), 0) - 1 ) / COUNTIF($I$2:$I$269,"&gt;0")) + 1)</f>
        <v/>
      </c>
      <c r="T179" t="str">
        <f>IF(J179=0,"","Q"&amp;INT(4*( RANK(J179, IF($J$2:$J$269&lt;&gt;0, $J$2:$J$269), 0) - 1 ) / COUNTIF($J$2:$J$269,"&gt;0")) + 1)</f>
        <v>Q4</v>
      </c>
      <c r="U179" t="str">
        <f>IF(K179=0,"","Q"&amp;INT(4*( RANK(K179, IF($K$2:$K$269&lt;&gt;0, $K$2:$K$269), 0) - 1 ) / COUNTIF($K$2:$K$269,"&gt;0")) + 1)</f>
        <v/>
      </c>
    </row>
    <row r="180" spans="1:21" x14ac:dyDescent="0.2">
      <c r="A180" t="s">
        <v>997</v>
      </c>
      <c r="B180" s="2">
        <v>0</v>
      </c>
      <c r="C180" s="2">
        <v>0.2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t="str">
        <f>IF(B180=0,"","Q"&amp;INT(4*( RANK(B180, IF($B$2:$B$269&lt;&gt;0, $B$2:$B$269), 0) - 1 ) / COUNTIF($B$2:$B$269,"&gt;0")) + 1)</f>
        <v/>
      </c>
      <c r="M180" t="str">
        <f>IF(C180=0,"","Q"&amp;INT(4*( RANK(C180, IF($C$2:$C$269&lt;&gt;0, $C$2:$C$269), 0) - 1 ) / COUNTIF($C$2:$C$269,"&gt;0")) + 1)</f>
        <v>Q3</v>
      </c>
      <c r="N180" t="str">
        <f>IF(D180=0,"","Q"&amp;INT(4*( RANK(D180, IF($D$2:$D$269&lt;&gt;0, $D$2:$D$269), 0) - 1 ) / COUNTIF($D$2:$D$269,"&gt;0")) + 1)</f>
        <v/>
      </c>
      <c r="O180" t="str">
        <f>IF(E180=0,"","Q"&amp;INT(4*( RANK(E180, IF($E$2:$E$269&lt;&gt;0, $E$2:$E$269), 0) - 1 ) / COUNTIF($E$2:$E$269,"&gt;0")) + 1)</f>
        <v/>
      </c>
      <c r="P180" t="str">
        <f>IF(F180=0,"","Q"&amp;INT(4*( RANK(F180, IF($F$2:$F$269&lt;&gt;0, $F$2:$F$269), 0) - 1 ) / COUNTIF($F$2:$F$269,"&gt;0")) + 1)</f>
        <v/>
      </c>
      <c r="Q180" t="str">
        <f>IF(G180=0,"","Q"&amp;INT(4*( RANK(G180, IF($G$2:$G$269&lt;&gt;0, $G$2:$G$269), 0) - 1 ) / COUNTIF($G$2:$G$269,"&gt;0")) + 1)</f>
        <v/>
      </c>
      <c r="R180" t="str">
        <f>IF(H180=0,"","Q"&amp;INT(4*( RANK(H180, IF($H$2:$H$269&lt;&gt;0, $H$2:$H$269), 0) - 1 ) / COUNTIF($H$2:$H$269,"&gt;0")) + 1)</f>
        <v/>
      </c>
      <c r="S180" t="str">
        <f>IF(I180=0,"","Q"&amp;INT(4*( RANK(I180, IF($I$2:$I$269&lt;&gt;0, $I$2:$I$269), 0) - 1 ) / COUNTIF($I$2:$I$269,"&gt;0")) + 1)</f>
        <v/>
      </c>
      <c r="T180" t="str">
        <f>IF(J180=0,"","Q"&amp;INT(4*( RANK(J180, IF($J$2:$J$269&lt;&gt;0, $J$2:$J$269), 0) - 1 ) / COUNTIF($J$2:$J$269,"&gt;0")) + 1)</f>
        <v/>
      </c>
      <c r="U180" t="str">
        <f>IF(K180=0,"","Q"&amp;INT(4*( RANK(K180, IF($K$2:$K$269&lt;&gt;0, $K$2:$K$269), 0) - 1 ) / COUNTIF($K$2:$K$269,"&gt;0")) + 1)</f>
        <v/>
      </c>
    </row>
    <row r="181" spans="1:21" x14ac:dyDescent="0.2">
      <c r="A181" s="8" t="s">
        <v>258</v>
      </c>
      <c r="B181" s="2">
        <v>0</v>
      </c>
      <c r="C181" s="2">
        <v>0</v>
      </c>
      <c r="D181" s="2">
        <v>0</v>
      </c>
      <c r="E181" s="2">
        <v>9.1999999999999998E-2</v>
      </c>
      <c r="F181" s="2">
        <v>0.115384615384615</v>
      </c>
      <c r="G181" s="2">
        <v>0</v>
      </c>
      <c r="H181" s="2">
        <v>0</v>
      </c>
      <c r="I181" s="2">
        <v>0</v>
      </c>
      <c r="J181" s="2">
        <v>4.6511627906976702E-2</v>
      </c>
      <c r="K181" s="2">
        <v>0.17647058823529399</v>
      </c>
      <c r="L181" t="str">
        <f>IF(B181=0,"","Q"&amp;INT(4*( RANK(B181, IF($B$2:$B$269&lt;&gt;0, $B$2:$B$269), 0) - 1 ) / COUNTIF($B$2:$B$269,"&gt;0")) + 1)</f>
        <v/>
      </c>
      <c r="M181" t="str">
        <f>IF(C181=0,"","Q"&amp;INT(4*( RANK(C181, IF($C$2:$C$269&lt;&gt;0, $C$2:$C$269), 0) - 1 ) / COUNTIF($C$2:$C$269,"&gt;0")) + 1)</f>
        <v/>
      </c>
      <c r="N181" t="str">
        <f>IF(D181=0,"","Q"&amp;INT(4*( RANK(D181, IF($D$2:$D$269&lt;&gt;0, $D$2:$D$269), 0) - 1 ) / COUNTIF($D$2:$D$269,"&gt;0")) + 1)</f>
        <v/>
      </c>
      <c r="O181" t="str">
        <f>IF(E181=0,"","Q"&amp;INT(4*( RANK(E181, IF($E$2:$E$269&lt;&gt;0, $E$2:$E$269), 0) - 1 ) / COUNTIF($E$2:$E$269,"&gt;0")) + 1)</f>
        <v>Q1</v>
      </c>
      <c r="P181" t="str">
        <f>IF(F181=0,"","Q"&amp;INT(4*( RANK(F181, IF($F$2:$F$269&lt;&gt;0, $F$2:$F$269), 0) - 1 ) / COUNTIF($F$2:$F$269,"&gt;0")) + 1)</f>
        <v>Q2</v>
      </c>
      <c r="Q181" t="str">
        <f>IF(G181=0,"","Q"&amp;INT(4*( RANK(G181, IF($G$2:$G$269&lt;&gt;0, $G$2:$G$269), 0) - 1 ) / COUNTIF($G$2:$G$269,"&gt;0")) + 1)</f>
        <v/>
      </c>
      <c r="R181" t="str">
        <f>IF(H181=0,"","Q"&amp;INT(4*( RANK(H181, IF($H$2:$H$269&lt;&gt;0, $H$2:$H$269), 0) - 1 ) / COUNTIF($H$2:$H$269,"&gt;0")) + 1)</f>
        <v/>
      </c>
      <c r="S181" t="str">
        <f>IF(I181=0,"","Q"&amp;INT(4*( RANK(I181, IF($I$2:$I$269&lt;&gt;0, $I$2:$I$269), 0) - 1 ) / COUNTIF($I$2:$I$269,"&gt;0")) + 1)</f>
        <v/>
      </c>
      <c r="T181" t="str">
        <f>IF(J181=0,"","Q"&amp;INT(4*( RANK(J181, IF($J$2:$J$269&lt;&gt;0, $J$2:$J$269), 0) - 1 ) / COUNTIF($J$2:$J$269,"&gt;0")) + 1)</f>
        <v>Q4</v>
      </c>
      <c r="U181" t="str">
        <f>IF(K181=0,"","Q"&amp;INT(4*( RANK(K181, IF($K$2:$K$269&lt;&gt;0, $K$2:$K$269), 0) - 1 ) / COUNTIF($K$2:$K$269,"&gt;0")) + 1)</f>
        <v>Q2</v>
      </c>
    </row>
    <row r="182" spans="1:21" x14ac:dyDescent="0.2">
      <c r="A182" t="s">
        <v>998</v>
      </c>
      <c r="B182" s="2">
        <v>1</v>
      </c>
      <c r="C182" s="2">
        <v>0.2</v>
      </c>
      <c r="D182" s="2">
        <v>0.38095238095237999</v>
      </c>
      <c r="E182" s="2">
        <v>0.14285714285714199</v>
      </c>
      <c r="F182" s="2">
        <v>0</v>
      </c>
      <c r="G182" s="2">
        <v>0</v>
      </c>
      <c r="H182" s="2">
        <v>0.33333333333333298</v>
      </c>
      <c r="I182" s="2">
        <v>0</v>
      </c>
      <c r="J182" s="2">
        <v>0.186046511627906</v>
      </c>
      <c r="K182" s="2">
        <v>0</v>
      </c>
      <c r="L182" t="str">
        <f>IF(B182=0,"","Q"&amp;INT(4*( RANK(B182, IF($B$2:$B$269&lt;&gt;0, $B$2:$B$269), 0) - 1 ) / COUNTIF($B$2:$B$269,"&gt;0")) + 1)</f>
        <v>Q1</v>
      </c>
      <c r="M182" t="str">
        <f>IF(C182=0,"","Q"&amp;INT(4*( RANK(C182, IF($C$2:$C$269&lt;&gt;0, $C$2:$C$269), 0) - 1 ) / COUNTIF($C$2:$C$269,"&gt;0")) + 1)</f>
        <v>Q3</v>
      </c>
      <c r="N182" t="str">
        <f>IF(D182=0,"","Q"&amp;INT(4*( RANK(D182, IF($D$2:$D$269&lt;&gt;0, $D$2:$D$269), 0) - 1 ) / COUNTIF($D$2:$D$269,"&gt;0")) + 1)</f>
        <v>Q1</v>
      </c>
      <c r="O182" t="str">
        <f>IF(E182=0,"","Q"&amp;INT(4*( RANK(E182, IF($E$2:$E$269&lt;&gt;0, $E$2:$E$269), 0) - 1 ) / COUNTIF($E$2:$E$269,"&gt;0")) + 1)</f>
        <v>Q1</v>
      </c>
      <c r="P182" t="str">
        <f>IF(F182=0,"","Q"&amp;INT(4*( RANK(F182, IF($F$2:$F$269&lt;&gt;0, $F$2:$F$269), 0) - 1 ) / COUNTIF($F$2:$F$269,"&gt;0")) + 1)</f>
        <v/>
      </c>
      <c r="Q182" t="str">
        <f>IF(G182=0,"","Q"&amp;INT(4*( RANK(G182, IF($G$2:$G$269&lt;&gt;0, $G$2:$G$269), 0) - 1 ) / COUNTIF($G$2:$G$269,"&gt;0")) + 1)</f>
        <v/>
      </c>
      <c r="R182" t="str">
        <f>IF(H182=0,"","Q"&amp;INT(4*( RANK(H182, IF($H$2:$H$269&lt;&gt;0, $H$2:$H$269), 0) - 1 ) / COUNTIF($H$2:$H$269,"&gt;0")) + 1)</f>
        <v>Q2</v>
      </c>
      <c r="S182" t="str">
        <f>IF(I182=0,"","Q"&amp;INT(4*( RANK(I182, IF($I$2:$I$269&lt;&gt;0, $I$2:$I$269), 0) - 1 ) / COUNTIF($I$2:$I$269,"&gt;0")) + 1)</f>
        <v/>
      </c>
      <c r="T182" t="str">
        <f>IF(J182=0,"","Q"&amp;INT(4*( RANK(J182, IF($J$2:$J$269&lt;&gt;0, $J$2:$J$269), 0) - 1 ) / COUNTIF($J$2:$J$269,"&gt;0")) + 1)</f>
        <v>Q2</v>
      </c>
      <c r="U182" t="str">
        <f>IF(K182=0,"","Q"&amp;INT(4*( RANK(K182, IF($K$2:$K$269&lt;&gt;0, $K$2:$K$269), 0) - 1 ) / COUNTIF($K$2:$K$269,"&gt;0")) + 1)</f>
        <v/>
      </c>
    </row>
    <row r="183" spans="1:21" x14ac:dyDescent="0.2">
      <c r="A183" t="s">
        <v>1070</v>
      </c>
      <c r="B183" s="2">
        <v>0</v>
      </c>
      <c r="C183" s="2">
        <v>0</v>
      </c>
      <c r="D183" s="2">
        <v>0.19047619047618999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t="str">
        <f>IF(B183=0,"","Q"&amp;INT(4*( RANK(B183, IF($B$2:$B$269&lt;&gt;0, $B$2:$B$269), 0) - 1 ) / COUNTIF($B$2:$B$269,"&gt;0")) + 1)</f>
        <v/>
      </c>
      <c r="M183" t="str">
        <f>IF(C183=0,"","Q"&amp;INT(4*( RANK(C183, IF($C$2:$C$269&lt;&gt;0, $C$2:$C$269), 0) - 1 ) / COUNTIF($C$2:$C$269,"&gt;0")) + 1)</f>
        <v/>
      </c>
      <c r="N183" t="str">
        <f>IF(D183=0,"","Q"&amp;INT(4*( RANK(D183, IF($D$2:$D$269&lt;&gt;0, $D$2:$D$269), 0) - 1 ) / COUNTIF($D$2:$D$269,"&gt;0")) + 1)</f>
        <v>Q2</v>
      </c>
      <c r="O183" t="str">
        <f>IF(E183=0,"","Q"&amp;INT(4*( RANK(E183, IF($E$2:$E$269&lt;&gt;0, $E$2:$E$269), 0) - 1 ) / COUNTIF($E$2:$E$269,"&gt;0")) + 1)</f>
        <v/>
      </c>
      <c r="P183" t="str">
        <f>IF(F183=0,"","Q"&amp;INT(4*( RANK(F183, IF($F$2:$F$269&lt;&gt;0, $F$2:$F$269), 0) - 1 ) / COUNTIF($F$2:$F$269,"&gt;0")) + 1)</f>
        <v/>
      </c>
      <c r="Q183" t="str">
        <f>IF(G183=0,"","Q"&amp;INT(4*( RANK(G183, IF($G$2:$G$269&lt;&gt;0, $G$2:$G$269), 0) - 1 ) / COUNTIF($G$2:$G$269,"&gt;0")) + 1)</f>
        <v/>
      </c>
      <c r="R183" t="str">
        <f>IF(H183=0,"","Q"&amp;INT(4*( RANK(H183, IF($H$2:$H$269&lt;&gt;0, $H$2:$H$269), 0) - 1 ) / COUNTIF($H$2:$H$269,"&gt;0")) + 1)</f>
        <v/>
      </c>
      <c r="S183" t="str">
        <f>IF(I183=0,"","Q"&amp;INT(4*( RANK(I183, IF($I$2:$I$269&lt;&gt;0, $I$2:$I$269), 0) - 1 ) / COUNTIF($I$2:$I$269,"&gt;0")) + 1)</f>
        <v/>
      </c>
      <c r="T183" t="str">
        <f>IF(J183=0,"","Q"&amp;INT(4*( RANK(J183, IF($J$2:$J$269&lt;&gt;0, $J$2:$J$269), 0) - 1 ) / COUNTIF($J$2:$J$269,"&gt;0")) + 1)</f>
        <v/>
      </c>
      <c r="U183" t="str">
        <f>IF(K183=0,"","Q"&amp;INT(4*( RANK(K183, IF($K$2:$K$269&lt;&gt;0, $K$2:$K$269), 0) - 1 ) / COUNTIF($K$2:$K$269,"&gt;0")) + 1)</f>
        <v/>
      </c>
    </row>
    <row r="184" spans="1:21" x14ac:dyDescent="0.2">
      <c r="A184" t="s">
        <v>999</v>
      </c>
      <c r="B184" s="2">
        <v>0</v>
      </c>
      <c r="C184" s="2">
        <v>0</v>
      </c>
      <c r="D184" s="2">
        <v>0</v>
      </c>
      <c r="E184" s="2">
        <v>3.3613445378151197E-2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0.47058823529411697</v>
      </c>
      <c r="L184" t="str">
        <f>IF(B184=0,"","Q"&amp;INT(4*( RANK(B184, IF($B$2:$B$269&lt;&gt;0, $B$2:$B$269), 0) - 1 ) / COUNTIF($B$2:$B$269,"&gt;0")) + 1)</f>
        <v/>
      </c>
      <c r="M184" t="str">
        <f>IF(C184=0,"","Q"&amp;INT(4*( RANK(C184, IF($C$2:$C$269&lt;&gt;0, $C$2:$C$269), 0) - 1 ) / COUNTIF($C$2:$C$269,"&gt;0")) + 1)</f>
        <v/>
      </c>
      <c r="N184" t="str">
        <f>IF(D184=0,"","Q"&amp;INT(4*( RANK(D184, IF($D$2:$D$269&lt;&gt;0, $D$2:$D$269), 0) - 1 ) / COUNTIF($D$2:$D$269,"&gt;0")) + 1)</f>
        <v/>
      </c>
      <c r="O184" t="str">
        <f>IF(E184=0,"","Q"&amp;INT(4*( RANK(E184, IF($E$2:$E$269&lt;&gt;0, $E$2:$E$269), 0) - 1 ) / COUNTIF($E$2:$E$269,"&gt;0")) + 1)</f>
        <v>Q1</v>
      </c>
      <c r="P184" t="str">
        <f>IF(F184=0,"","Q"&amp;INT(4*( RANK(F184, IF($F$2:$F$269&lt;&gt;0, $F$2:$F$269), 0) - 1 ) / COUNTIF($F$2:$F$269,"&gt;0")) + 1)</f>
        <v/>
      </c>
      <c r="Q184" t="str">
        <f>IF(G184=0,"","Q"&amp;INT(4*( RANK(G184, IF($G$2:$G$269&lt;&gt;0, $G$2:$G$269), 0) - 1 ) / COUNTIF($G$2:$G$269,"&gt;0")) + 1)</f>
        <v/>
      </c>
      <c r="R184" t="str">
        <f>IF(H184=0,"","Q"&amp;INT(4*( RANK(H184, IF($H$2:$H$269&lt;&gt;0, $H$2:$H$269), 0) - 1 ) / COUNTIF($H$2:$H$269,"&gt;0")) + 1)</f>
        <v/>
      </c>
      <c r="S184" t="str">
        <f>IF(I184=0,"","Q"&amp;INT(4*( RANK(I184, IF($I$2:$I$269&lt;&gt;0, $I$2:$I$269), 0) - 1 ) / COUNTIF($I$2:$I$269,"&gt;0")) + 1)</f>
        <v/>
      </c>
      <c r="T184" t="str">
        <f>IF(J184=0,"","Q"&amp;INT(4*( RANK(J184, IF($J$2:$J$269&lt;&gt;0, $J$2:$J$269), 0) - 1 ) / COUNTIF($J$2:$J$269,"&gt;0")) + 1)</f>
        <v/>
      </c>
      <c r="U184" t="str">
        <f>IF(K184=0,"","Q"&amp;INT(4*( RANK(K184, IF($K$2:$K$269&lt;&gt;0, $K$2:$K$269), 0) - 1 ) / COUNTIF($K$2:$K$269,"&gt;0")) + 1)</f>
        <v>Q1</v>
      </c>
    </row>
    <row r="185" spans="1:21" x14ac:dyDescent="0.2">
      <c r="A185" t="s">
        <v>1000</v>
      </c>
      <c r="B185" s="2">
        <v>0</v>
      </c>
      <c r="C185" s="2">
        <v>0</v>
      </c>
      <c r="D185" s="2">
        <v>0</v>
      </c>
      <c r="E185" s="2">
        <v>8.4033613445378096E-3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t="str">
        <f>IF(B185=0,"","Q"&amp;INT(4*( RANK(B185, IF($B$2:$B$269&lt;&gt;0, $B$2:$B$269), 0) - 1 ) / COUNTIF($B$2:$B$269,"&gt;0")) + 1)</f>
        <v/>
      </c>
      <c r="M185" t="str">
        <f>IF(C185=0,"","Q"&amp;INT(4*( RANK(C185, IF($C$2:$C$269&lt;&gt;0, $C$2:$C$269), 0) - 1 ) / COUNTIF($C$2:$C$269,"&gt;0")) + 1)</f>
        <v/>
      </c>
      <c r="N185" t="str">
        <f>IF(D185=0,"","Q"&amp;INT(4*( RANK(D185, IF($D$2:$D$269&lt;&gt;0, $D$2:$D$269), 0) - 1 ) / COUNTIF($D$2:$D$269,"&gt;0")) + 1)</f>
        <v/>
      </c>
      <c r="O185" t="str">
        <f>IF(E185=0,"","Q"&amp;INT(4*( RANK(E185, IF($E$2:$E$269&lt;&gt;0, $E$2:$E$269), 0) - 1 ) / COUNTIF($E$2:$E$269,"&gt;0")) + 1)</f>
        <v>Q3</v>
      </c>
      <c r="P185" t="str">
        <f>IF(F185=0,"","Q"&amp;INT(4*( RANK(F185, IF($F$2:$F$269&lt;&gt;0, $F$2:$F$269), 0) - 1 ) / COUNTIF($F$2:$F$269,"&gt;0")) + 1)</f>
        <v/>
      </c>
      <c r="Q185" t="str">
        <f>IF(G185=0,"","Q"&amp;INT(4*( RANK(G185, IF($G$2:$G$269&lt;&gt;0, $G$2:$G$269), 0) - 1 ) / COUNTIF($G$2:$G$269,"&gt;0")) + 1)</f>
        <v/>
      </c>
      <c r="R185" t="str">
        <f>IF(H185=0,"","Q"&amp;INT(4*( RANK(H185, IF($H$2:$H$269&lt;&gt;0, $H$2:$H$269), 0) - 1 ) / COUNTIF($H$2:$H$269,"&gt;0")) + 1)</f>
        <v/>
      </c>
      <c r="S185" t="str">
        <f>IF(I185=0,"","Q"&amp;INT(4*( RANK(I185, IF($I$2:$I$269&lt;&gt;0, $I$2:$I$269), 0) - 1 ) / COUNTIF($I$2:$I$269,"&gt;0")) + 1)</f>
        <v/>
      </c>
      <c r="T185" t="str">
        <f>IF(J185=0,"","Q"&amp;INT(4*( RANK(J185, IF($J$2:$J$269&lt;&gt;0, $J$2:$J$269), 0) - 1 ) / COUNTIF($J$2:$J$269,"&gt;0")) + 1)</f>
        <v/>
      </c>
      <c r="U185" t="str">
        <f>IF(K185=0,"","Q"&amp;INT(4*( RANK(K185, IF($K$2:$K$269&lt;&gt;0, $K$2:$K$269), 0) - 1 ) / COUNTIF($K$2:$K$269,"&gt;0")) + 1)</f>
        <v/>
      </c>
    </row>
    <row r="186" spans="1:21" x14ac:dyDescent="0.2">
      <c r="A186" t="s">
        <v>1071</v>
      </c>
      <c r="B186" s="2">
        <v>0</v>
      </c>
      <c r="C186" s="2">
        <v>0</v>
      </c>
      <c r="D186" s="2">
        <v>0</v>
      </c>
      <c r="E186" s="2">
        <v>1.6806722689075598E-2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t="str">
        <f>IF(B186=0,"","Q"&amp;INT(4*( RANK(B186, IF($B$2:$B$269&lt;&gt;0, $B$2:$B$269), 0) - 1 ) / COUNTIF($B$2:$B$269,"&gt;0")) + 1)</f>
        <v/>
      </c>
      <c r="M186" t="str">
        <f>IF(C186=0,"","Q"&amp;INT(4*( RANK(C186, IF($C$2:$C$269&lt;&gt;0, $C$2:$C$269), 0) - 1 ) / COUNTIF($C$2:$C$269,"&gt;0")) + 1)</f>
        <v/>
      </c>
      <c r="N186" t="str">
        <f>IF(D186=0,"","Q"&amp;INT(4*( RANK(D186, IF($D$2:$D$269&lt;&gt;0, $D$2:$D$269), 0) - 1 ) / COUNTIF($D$2:$D$269,"&gt;0")) + 1)</f>
        <v/>
      </c>
      <c r="O186" t="str">
        <f>IF(E186=0,"","Q"&amp;INT(4*( RANK(E186, IF($E$2:$E$269&lt;&gt;0, $E$2:$E$269), 0) - 1 ) / COUNTIF($E$2:$E$269,"&gt;0")) + 1)</f>
        <v>Q2</v>
      </c>
      <c r="P186" t="str">
        <f>IF(F186=0,"","Q"&amp;INT(4*( RANK(F186, IF($F$2:$F$269&lt;&gt;0, $F$2:$F$269), 0) - 1 ) / COUNTIF($F$2:$F$269,"&gt;0")) + 1)</f>
        <v/>
      </c>
      <c r="Q186" t="str">
        <f>IF(G186=0,"","Q"&amp;INT(4*( RANK(G186, IF($G$2:$G$269&lt;&gt;0, $G$2:$G$269), 0) - 1 ) / COUNTIF($G$2:$G$269,"&gt;0")) + 1)</f>
        <v/>
      </c>
      <c r="R186" t="str">
        <f>IF(H186=0,"","Q"&amp;INT(4*( RANK(H186, IF($H$2:$H$269&lt;&gt;0, $H$2:$H$269), 0) - 1 ) / COUNTIF($H$2:$H$269,"&gt;0")) + 1)</f>
        <v/>
      </c>
      <c r="S186" t="str">
        <f>IF(I186=0,"","Q"&amp;INT(4*( RANK(I186, IF($I$2:$I$269&lt;&gt;0, $I$2:$I$269), 0) - 1 ) / COUNTIF($I$2:$I$269,"&gt;0")) + 1)</f>
        <v/>
      </c>
      <c r="T186" t="str">
        <f>IF(J186=0,"","Q"&amp;INT(4*( RANK(J186, IF($J$2:$J$269&lt;&gt;0, $J$2:$J$269), 0) - 1 ) / COUNTIF($J$2:$J$269,"&gt;0")) + 1)</f>
        <v/>
      </c>
      <c r="U186" t="str">
        <f>IF(K186=0,"","Q"&amp;INT(4*( RANK(K186, IF($K$2:$K$269&lt;&gt;0, $K$2:$K$269), 0) - 1 ) / COUNTIF($K$2:$K$269,"&gt;0")) + 1)</f>
        <v/>
      </c>
    </row>
    <row r="187" spans="1:21" x14ac:dyDescent="0.2">
      <c r="A187" t="s">
        <v>264</v>
      </c>
      <c r="B187" s="2">
        <v>0</v>
      </c>
      <c r="C187" s="2">
        <v>0</v>
      </c>
      <c r="D187" s="2">
        <v>0</v>
      </c>
      <c r="E187" s="2">
        <v>4.2016806722688996E-3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t="str">
        <f>IF(B187=0,"","Q"&amp;INT(4*( RANK(B187, IF($B$2:$B$269&lt;&gt;0, $B$2:$B$269), 0) - 1 ) / COUNTIF($B$2:$B$269,"&gt;0")) + 1)</f>
        <v/>
      </c>
      <c r="M187" t="str">
        <f>IF(C187=0,"","Q"&amp;INT(4*( RANK(C187, IF($C$2:$C$269&lt;&gt;0, $C$2:$C$269), 0) - 1 ) / COUNTIF($C$2:$C$269,"&gt;0")) + 1)</f>
        <v/>
      </c>
      <c r="N187" t="str">
        <f>IF(D187=0,"","Q"&amp;INT(4*( RANK(D187, IF($D$2:$D$269&lt;&gt;0, $D$2:$D$269), 0) - 1 ) / COUNTIF($D$2:$D$269,"&gt;0")) + 1)</f>
        <v/>
      </c>
      <c r="O187" t="str">
        <f>IF(E187=0,"","Q"&amp;INT(4*( RANK(E187, IF($E$2:$E$269&lt;&gt;0, $E$2:$E$269), 0) - 1 ) / COUNTIF($E$2:$E$269,"&gt;0")) + 1)</f>
        <v>Q4</v>
      </c>
      <c r="P187" t="str">
        <f>IF(F187=0,"","Q"&amp;INT(4*( RANK(F187, IF($F$2:$F$269&lt;&gt;0, $F$2:$F$269), 0) - 1 ) / COUNTIF($F$2:$F$269,"&gt;0")) + 1)</f>
        <v/>
      </c>
      <c r="Q187" t="str">
        <f>IF(G187=0,"","Q"&amp;INT(4*( RANK(G187, IF($G$2:$G$269&lt;&gt;0, $G$2:$G$269), 0) - 1 ) / COUNTIF($G$2:$G$269,"&gt;0")) + 1)</f>
        <v>Q1</v>
      </c>
      <c r="R187" t="str">
        <f>IF(H187=0,"","Q"&amp;INT(4*( RANK(H187, IF($H$2:$H$269&lt;&gt;0, $H$2:$H$269), 0) - 1 ) / COUNTIF($H$2:$H$269,"&gt;0")) + 1)</f>
        <v/>
      </c>
      <c r="S187" t="str">
        <f>IF(I187=0,"","Q"&amp;INT(4*( RANK(I187, IF($I$2:$I$269&lt;&gt;0, $I$2:$I$269), 0) - 1 ) / COUNTIF($I$2:$I$269,"&gt;0")) + 1)</f>
        <v/>
      </c>
      <c r="T187" t="str">
        <f>IF(J187=0,"","Q"&amp;INT(4*( RANK(J187, IF($J$2:$J$269&lt;&gt;0, $J$2:$J$269), 0) - 1 ) / COUNTIF($J$2:$J$269,"&gt;0")) + 1)</f>
        <v/>
      </c>
      <c r="U187" t="str">
        <f>IF(K187=0,"","Q"&amp;INT(4*( RANK(K187, IF($K$2:$K$269&lt;&gt;0, $K$2:$K$269), 0) - 1 ) / COUNTIF($K$2:$K$269,"&gt;0")) + 1)</f>
        <v/>
      </c>
    </row>
    <row r="188" spans="1:21" x14ac:dyDescent="0.2">
      <c r="A188" t="s">
        <v>265</v>
      </c>
      <c r="B188" s="2">
        <v>0</v>
      </c>
      <c r="C188" s="2">
        <v>0</v>
      </c>
      <c r="D188" s="2">
        <v>0</v>
      </c>
      <c r="E188" s="2">
        <v>0.105042016806722</v>
      </c>
      <c r="F188" s="2">
        <v>0.269230769230769</v>
      </c>
      <c r="G188" s="2">
        <v>0</v>
      </c>
      <c r="H188" s="2">
        <v>0</v>
      </c>
      <c r="I188" s="2">
        <v>0</v>
      </c>
      <c r="J188" s="2">
        <v>0.209302325581395</v>
      </c>
      <c r="K188" s="2">
        <v>0</v>
      </c>
      <c r="L188" t="str">
        <f>IF(B188=0,"","Q"&amp;INT(4*( RANK(B188, IF($B$2:$B$269&lt;&gt;0, $B$2:$B$269), 0) - 1 ) / COUNTIF($B$2:$B$269,"&gt;0")) + 1)</f>
        <v/>
      </c>
      <c r="M188" t="str">
        <f>IF(C188=0,"","Q"&amp;INT(4*( RANK(C188, IF($C$2:$C$269&lt;&gt;0, $C$2:$C$269), 0) - 1 ) / COUNTIF($C$2:$C$269,"&gt;0")) + 1)</f>
        <v/>
      </c>
      <c r="N188" t="str">
        <f>IF(D188=0,"","Q"&amp;INT(4*( RANK(D188, IF($D$2:$D$269&lt;&gt;0, $D$2:$D$269), 0) - 1 ) / COUNTIF($D$2:$D$269,"&gt;0")) + 1)</f>
        <v/>
      </c>
      <c r="O188" t="str">
        <f>IF(E188=0,"","Q"&amp;INT(4*( RANK(E188, IF($E$2:$E$269&lt;&gt;0, $E$2:$E$269), 0) - 1 ) / COUNTIF($E$2:$E$269,"&gt;0")) + 1)</f>
        <v>Q1</v>
      </c>
      <c r="P188" t="str">
        <f>IF(F188=0,"","Q"&amp;INT(4*( RANK(F188, IF($F$2:$F$269&lt;&gt;0, $F$2:$F$269), 0) - 1 ) / COUNTIF($F$2:$F$269,"&gt;0")) + 1)</f>
        <v>Q1</v>
      </c>
      <c r="Q188" t="str">
        <f>IF(G188=0,"","Q"&amp;INT(4*( RANK(G188, IF($G$2:$G$269&lt;&gt;0, $G$2:$G$269), 0) - 1 ) / COUNTIF($G$2:$G$269,"&gt;0")) + 1)</f>
        <v/>
      </c>
      <c r="R188" t="str">
        <f>IF(H188=0,"","Q"&amp;INT(4*( RANK(H188, IF($H$2:$H$269&lt;&gt;0, $H$2:$H$269), 0) - 1 ) / COUNTIF($H$2:$H$269,"&gt;0")) + 1)</f>
        <v/>
      </c>
      <c r="S188" t="str">
        <f>IF(I188=0,"","Q"&amp;INT(4*( RANK(I188, IF($I$2:$I$269&lt;&gt;0, $I$2:$I$269), 0) - 1 ) / COUNTIF($I$2:$I$269,"&gt;0")) + 1)</f>
        <v/>
      </c>
      <c r="T188" t="str">
        <f>IF(J188=0,"","Q"&amp;INT(4*( RANK(J188, IF($J$2:$J$269&lt;&gt;0, $J$2:$J$269), 0) - 1 ) / COUNTIF($J$2:$J$269,"&gt;0")) + 1)</f>
        <v>Q2</v>
      </c>
      <c r="U188" t="str">
        <f>IF(K188=0,"","Q"&amp;INT(4*( RANK(K188, IF($K$2:$K$269&lt;&gt;0, $K$2:$K$269), 0) - 1 ) / COUNTIF($K$2:$K$269,"&gt;0")) + 1)</f>
        <v/>
      </c>
    </row>
    <row r="189" spans="1:21" x14ac:dyDescent="0.2">
      <c r="A189" t="s">
        <v>266</v>
      </c>
      <c r="B189" s="2">
        <v>0</v>
      </c>
      <c r="C189" s="2">
        <v>0</v>
      </c>
      <c r="D189" s="2">
        <v>0</v>
      </c>
      <c r="E189" s="2">
        <v>1.6806722689075598E-2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t="str">
        <f>IF(B189=0,"","Q"&amp;INT(4*( RANK(B189, IF($B$2:$B$269&lt;&gt;0, $B$2:$B$269), 0) - 1 ) / COUNTIF($B$2:$B$269,"&gt;0")) + 1)</f>
        <v/>
      </c>
      <c r="M189" t="str">
        <f>IF(C189=0,"","Q"&amp;INT(4*( RANK(C189, IF($C$2:$C$269&lt;&gt;0, $C$2:$C$269), 0) - 1 ) / COUNTIF($C$2:$C$269,"&gt;0")) + 1)</f>
        <v/>
      </c>
      <c r="N189" t="str">
        <f>IF(D189=0,"","Q"&amp;INT(4*( RANK(D189, IF($D$2:$D$269&lt;&gt;0, $D$2:$D$269), 0) - 1 ) / COUNTIF($D$2:$D$269,"&gt;0")) + 1)</f>
        <v/>
      </c>
      <c r="O189" t="str">
        <f>IF(E189=0,"","Q"&amp;INT(4*( RANK(E189, IF($E$2:$E$269&lt;&gt;0, $E$2:$E$269), 0) - 1 ) / COUNTIF($E$2:$E$269,"&gt;0")) + 1)</f>
        <v>Q2</v>
      </c>
      <c r="P189" t="str">
        <f>IF(F189=0,"","Q"&amp;INT(4*( RANK(F189, IF($F$2:$F$269&lt;&gt;0, $F$2:$F$269), 0) - 1 ) / COUNTIF($F$2:$F$269,"&gt;0")) + 1)</f>
        <v/>
      </c>
      <c r="Q189" t="str">
        <f>IF(G189=0,"","Q"&amp;INT(4*( RANK(G189, IF($G$2:$G$269&lt;&gt;0, $G$2:$G$269), 0) - 1 ) / COUNTIF($G$2:$G$269,"&gt;0")) + 1)</f>
        <v/>
      </c>
      <c r="R189" t="str">
        <f>IF(H189=0,"","Q"&amp;INT(4*( RANK(H189, IF($H$2:$H$269&lt;&gt;0, $H$2:$H$269), 0) - 1 ) / COUNTIF($H$2:$H$269,"&gt;0")) + 1)</f>
        <v/>
      </c>
      <c r="S189" t="str">
        <f>IF(I189=0,"","Q"&amp;INT(4*( RANK(I189, IF($I$2:$I$269&lt;&gt;0, $I$2:$I$269), 0) - 1 ) / COUNTIF($I$2:$I$269,"&gt;0")) + 1)</f>
        <v/>
      </c>
      <c r="T189" t="str">
        <f>IF(J189=0,"","Q"&amp;INT(4*( RANK(J189, IF($J$2:$J$269&lt;&gt;0, $J$2:$J$269), 0) - 1 ) / COUNTIF($J$2:$J$269,"&gt;0")) + 1)</f>
        <v/>
      </c>
      <c r="U189" t="str">
        <f>IF(K189=0,"","Q"&amp;INT(4*( RANK(K189, IF($K$2:$K$269&lt;&gt;0, $K$2:$K$269), 0) - 1 ) / COUNTIF($K$2:$K$269,"&gt;0")) + 1)</f>
        <v/>
      </c>
    </row>
    <row r="190" spans="1:21" x14ac:dyDescent="0.2">
      <c r="A190" t="s">
        <v>1001</v>
      </c>
      <c r="B190" s="2">
        <v>0</v>
      </c>
      <c r="C190" s="2">
        <v>0</v>
      </c>
      <c r="D190" s="2">
        <v>0</v>
      </c>
      <c r="E190" s="2">
        <v>8.4033613445378096E-3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t="str">
        <f>IF(B190=0,"","Q"&amp;INT(4*( RANK(B190, IF($B$2:$B$269&lt;&gt;0, $B$2:$B$269), 0) - 1 ) / COUNTIF($B$2:$B$269,"&gt;0")) + 1)</f>
        <v/>
      </c>
      <c r="M190" t="str">
        <f>IF(C190=0,"","Q"&amp;INT(4*( RANK(C190, IF($C$2:$C$269&lt;&gt;0, $C$2:$C$269), 0) - 1 ) / COUNTIF($C$2:$C$269,"&gt;0")) + 1)</f>
        <v/>
      </c>
      <c r="N190" t="str">
        <f>IF(D190=0,"","Q"&amp;INT(4*( RANK(D190, IF($D$2:$D$269&lt;&gt;0, $D$2:$D$269), 0) - 1 ) / COUNTIF($D$2:$D$269,"&gt;0")) + 1)</f>
        <v/>
      </c>
      <c r="O190" t="str">
        <f>IF(E190=0,"","Q"&amp;INT(4*( RANK(E190, IF($E$2:$E$269&lt;&gt;0, $E$2:$E$269), 0) - 1 ) / COUNTIF($E$2:$E$269,"&gt;0")) + 1)</f>
        <v>Q3</v>
      </c>
      <c r="P190" t="str">
        <f>IF(F190=0,"","Q"&amp;INT(4*( RANK(F190, IF($F$2:$F$269&lt;&gt;0, $F$2:$F$269), 0) - 1 ) / COUNTIF($F$2:$F$269,"&gt;0")) + 1)</f>
        <v/>
      </c>
      <c r="Q190" t="str">
        <f>IF(G190=0,"","Q"&amp;INT(4*( RANK(G190, IF($G$2:$G$269&lt;&gt;0, $G$2:$G$269), 0) - 1 ) / COUNTIF($G$2:$G$269,"&gt;0")) + 1)</f>
        <v/>
      </c>
      <c r="R190" t="str">
        <f>IF(H190=0,"","Q"&amp;INT(4*( RANK(H190, IF($H$2:$H$269&lt;&gt;0, $H$2:$H$269), 0) - 1 ) / COUNTIF($H$2:$H$269,"&gt;0")) + 1)</f>
        <v/>
      </c>
      <c r="S190" t="str">
        <f>IF(I190=0,"","Q"&amp;INT(4*( RANK(I190, IF($I$2:$I$269&lt;&gt;0, $I$2:$I$269), 0) - 1 ) / COUNTIF($I$2:$I$269,"&gt;0")) + 1)</f>
        <v/>
      </c>
      <c r="T190" t="str">
        <f>IF(J190=0,"","Q"&amp;INT(4*( RANK(J190, IF($J$2:$J$269&lt;&gt;0, $J$2:$J$269), 0) - 1 ) / COUNTIF($J$2:$J$269,"&gt;0")) + 1)</f>
        <v/>
      </c>
      <c r="U190" t="str">
        <f>IF(K190=0,"","Q"&amp;INT(4*( RANK(K190, IF($K$2:$K$269&lt;&gt;0, $K$2:$K$269), 0) - 1 ) / COUNTIF($K$2:$K$269,"&gt;0")) + 1)</f>
        <v/>
      </c>
    </row>
    <row r="191" spans="1:21" x14ac:dyDescent="0.2">
      <c r="A191" t="s">
        <v>1002</v>
      </c>
      <c r="B191" s="2">
        <v>0</v>
      </c>
      <c r="C191" s="2">
        <v>0</v>
      </c>
      <c r="D191" s="2">
        <v>0</v>
      </c>
      <c r="E191" s="2">
        <v>3.3613445378151197E-2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t="str">
        <f>IF(B191=0,"","Q"&amp;INT(4*( RANK(B191, IF($B$2:$B$269&lt;&gt;0, $B$2:$B$269), 0) - 1 ) / COUNTIF($B$2:$B$269,"&gt;0")) + 1)</f>
        <v/>
      </c>
      <c r="M191" t="str">
        <f>IF(C191=0,"","Q"&amp;INT(4*( RANK(C191, IF($C$2:$C$269&lt;&gt;0, $C$2:$C$269), 0) - 1 ) / COUNTIF($C$2:$C$269,"&gt;0")) + 1)</f>
        <v/>
      </c>
      <c r="N191" t="str">
        <f>IF(D191=0,"","Q"&amp;INT(4*( RANK(D191, IF($D$2:$D$269&lt;&gt;0, $D$2:$D$269), 0) - 1 ) / COUNTIF($D$2:$D$269,"&gt;0")) + 1)</f>
        <v/>
      </c>
      <c r="O191" t="str">
        <f>IF(E191=0,"","Q"&amp;INT(4*( RANK(E191, IF($E$2:$E$269&lt;&gt;0, $E$2:$E$269), 0) - 1 ) / COUNTIF($E$2:$E$269,"&gt;0")) + 1)</f>
        <v>Q1</v>
      </c>
      <c r="P191" t="str">
        <f>IF(F191=0,"","Q"&amp;INT(4*( RANK(F191, IF($F$2:$F$269&lt;&gt;0, $F$2:$F$269), 0) - 1 ) / COUNTIF($F$2:$F$269,"&gt;0")) + 1)</f>
        <v/>
      </c>
      <c r="Q191" t="str">
        <f>IF(G191=0,"","Q"&amp;INT(4*( RANK(G191, IF($G$2:$G$269&lt;&gt;0, $G$2:$G$269), 0) - 1 ) / COUNTIF($G$2:$G$269,"&gt;0")) + 1)</f>
        <v/>
      </c>
      <c r="R191" t="str">
        <f>IF(H191=0,"","Q"&amp;INT(4*( RANK(H191, IF($H$2:$H$269&lt;&gt;0, $H$2:$H$269), 0) - 1 ) / COUNTIF($H$2:$H$269,"&gt;0")) + 1)</f>
        <v/>
      </c>
      <c r="S191" t="str">
        <f>IF(I191=0,"","Q"&amp;INT(4*( RANK(I191, IF($I$2:$I$269&lt;&gt;0, $I$2:$I$269), 0) - 1 ) / COUNTIF($I$2:$I$269,"&gt;0")) + 1)</f>
        <v/>
      </c>
      <c r="T191" t="str">
        <f>IF(J191=0,"","Q"&amp;INT(4*( RANK(J191, IF($J$2:$J$269&lt;&gt;0, $J$2:$J$269), 0) - 1 ) / COUNTIF($J$2:$J$269,"&gt;0")) + 1)</f>
        <v/>
      </c>
      <c r="U191" t="str">
        <f>IF(K191=0,"","Q"&amp;INT(4*( RANK(K191, IF($K$2:$K$269&lt;&gt;0, $K$2:$K$269), 0) - 1 ) / COUNTIF($K$2:$K$269,"&gt;0")) + 1)</f>
        <v/>
      </c>
    </row>
    <row r="192" spans="1:21" x14ac:dyDescent="0.2">
      <c r="A192" t="s">
        <v>1003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0.23529411764705799</v>
      </c>
      <c r="L192" t="str">
        <f>IF(B192=0,"","Q"&amp;INT(4*( RANK(B192, IF($B$2:$B$269&lt;&gt;0, $B$2:$B$269), 0) - 1 ) / COUNTIF($B$2:$B$269,"&gt;0")) + 1)</f>
        <v/>
      </c>
      <c r="M192" t="str">
        <f>IF(C192=0,"","Q"&amp;INT(4*( RANK(C192, IF($C$2:$C$269&lt;&gt;0, $C$2:$C$269), 0) - 1 ) / COUNTIF($C$2:$C$269,"&gt;0")) + 1)</f>
        <v/>
      </c>
      <c r="N192" t="str">
        <f>IF(D192=0,"","Q"&amp;INT(4*( RANK(D192, IF($D$2:$D$269&lt;&gt;0, $D$2:$D$269), 0) - 1 ) / COUNTIF($D$2:$D$269,"&gt;0")) + 1)</f>
        <v/>
      </c>
      <c r="O192" t="str">
        <f>IF(E192=0,"","Q"&amp;INT(4*( RANK(E192, IF($E$2:$E$269&lt;&gt;0, $E$2:$E$269), 0) - 1 ) / COUNTIF($E$2:$E$269,"&gt;0")) + 1)</f>
        <v/>
      </c>
      <c r="P192" t="str">
        <f>IF(F192=0,"","Q"&amp;INT(4*( RANK(F192, IF($F$2:$F$269&lt;&gt;0, $F$2:$F$269), 0) - 1 ) / COUNTIF($F$2:$F$269,"&gt;0")) + 1)</f>
        <v/>
      </c>
      <c r="Q192" t="str">
        <f>IF(G192=0,"","Q"&amp;INT(4*( RANK(G192, IF($G$2:$G$269&lt;&gt;0, $G$2:$G$269), 0) - 1 ) / COUNTIF($G$2:$G$269,"&gt;0")) + 1)</f>
        <v/>
      </c>
      <c r="R192" t="str">
        <f>IF(H192=0,"","Q"&amp;INT(4*( RANK(H192, IF($H$2:$H$269&lt;&gt;0, $H$2:$H$269), 0) - 1 ) / COUNTIF($H$2:$H$269,"&gt;0")) + 1)</f>
        <v/>
      </c>
      <c r="S192" t="str">
        <f>IF(I192=0,"","Q"&amp;INT(4*( RANK(I192, IF($I$2:$I$269&lt;&gt;0, $I$2:$I$269), 0) - 1 ) / COUNTIF($I$2:$I$269,"&gt;0")) + 1)</f>
        <v/>
      </c>
      <c r="T192" t="str">
        <f>IF(J192=0,"","Q"&amp;INT(4*( RANK(J192, IF($J$2:$J$269&lt;&gt;0, $J$2:$J$269), 0) - 1 ) / COUNTIF($J$2:$J$269,"&gt;0")) + 1)</f>
        <v/>
      </c>
      <c r="U192" t="str">
        <f>IF(K192=0,"","Q"&amp;INT(4*( RANK(K192, IF($K$2:$K$269&lt;&gt;0, $K$2:$K$269), 0) - 1 ) / COUNTIF($K$2:$K$269,"&gt;0")) + 1)</f>
        <v>Q2</v>
      </c>
    </row>
    <row r="193" spans="1:21" x14ac:dyDescent="0.2">
      <c r="A193" t="s">
        <v>1072</v>
      </c>
      <c r="B193" s="2">
        <v>0</v>
      </c>
      <c r="C193" s="2">
        <v>0</v>
      </c>
      <c r="D193" s="2">
        <v>0</v>
      </c>
      <c r="E193" s="2">
        <v>4.2016806722689003E-2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t="str">
        <f>IF(B193=0,"","Q"&amp;INT(4*( RANK(B193, IF($B$2:$B$269&lt;&gt;0, $B$2:$B$269), 0) - 1 ) / COUNTIF($B$2:$B$269,"&gt;0")) + 1)</f>
        <v/>
      </c>
      <c r="M193" t="str">
        <f>IF(C193=0,"","Q"&amp;INT(4*( RANK(C193, IF($C$2:$C$269&lt;&gt;0, $C$2:$C$269), 0) - 1 ) / COUNTIF($C$2:$C$269,"&gt;0")) + 1)</f>
        <v/>
      </c>
      <c r="N193" t="str">
        <f>IF(D193=0,"","Q"&amp;INT(4*( RANK(D193, IF($D$2:$D$269&lt;&gt;0, $D$2:$D$269), 0) - 1 ) / COUNTIF($D$2:$D$269,"&gt;0")) + 1)</f>
        <v/>
      </c>
      <c r="O193" t="str">
        <f>IF(E193=0,"","Q"&amp;INT(4*( RANK(E193, IF($E$2:$E$269&lt;&gt;0, $E$2:$E$269), 0) - 1 ) / COUNTIF($E$2:$E$269,"&gt;0")) + 1)</f>
        <v>Q1</v>
      </c>
      <c r="P193" t="str">
        <f>IF(F193=0,"","Q"&amp;INT(4*( RANK(F193, IF($F$2:$F$269&lt;&gt;0, $F$2:$F$269), 0) - 1 ) / COUNTIF($F$2:$F$269,"&gt;0")) + 1)</f>
        <v/>
      </c>
      <c r="Q193" t="str">
        <f>IF(G193=0,"","Q"&amp;INT(4*( RANK(G193, IF($G$2:$G$269&lt;&gt;0, $G$2:$G$269), 0) - 1 ) / COUNTIF($G$2:$G$269,"&gt;0")) + 1)</f>
        <v/>
      </c>
      <c r="R193" t="str">
        <f>IF(H193=0,"","Q"&amp;INT(4*( RANK(H193, IF($H$2:$H$269&lt;&gt;0, $H$2:$H$269), 0) - 1 ) / COUNTIF($H$2:$H$269,"&gt;0")) + 1)</f>
        <v/>
      </c>
      <c r="S193" t="str">
        <f>IF(I193=0,"","Q"&amp;INT(4*( RANK(I193, IF($I$2:$I$269&lt;&gt;0, $I$2:$I$269), 0) - 1 ) / COUNTIF($I$2:$I$269,"&gt;0")) + 1)</f>
        <v/>
      </c>
      <c r="T193" t="str">
        <f>IF(J193=0,"","Q"&amp;INT(4*( RANK(J193, IF($J$2:$J$269&lt;&gt;0, $J$2:$J$269), 0) - 1 ) / COUNTIF($J$2:$J$269,"&gt;0")) + 1)</f>
        <v/>
      </c>
      <c r="U193" t="str">
        <f>IF(K193=0,"","Q"&amp;INT(4*( RANK(K193, IF($K$2:$K$269&lt;&gt;0, $K$2:$K$269), 0) - 1 ) / COUNTIF($K$2:$K$269,"&gt;0")) + 1)</f>
        <v/>
      </c>
    </row>
    <row r="194" spans="1:21" x14ac:dyDescent="0.2">
      <c r="A194" t="s">
        <v>1004</v>
      </c>
      <c r="B194" s="2">
        <v>0</v>
      </c>
      <c r="C194" s="2">
        <v>0</v>
      </c>
      <c r="D194" s="2">
        <v>0</v>
      </c>
      <c r="E194" s="2">
        <v>7.5630252100840303E-2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t="str">
        <f>IF(B194=0,"","Q"&amp;INT(4*( RANK(B194, IF($B$2:$B$269&lt;&gt;0, $B$2:$B$269), 0) - 1 ) / COUNTIF($B$2:$B$269,"&gt;0")) + 1)</f>
        <v/>
      </c>
      <c r="M194" t="str">
        <f>IF(C194=0,"","Q"&amp;INT(4*( RANK(C194, IF($C$2:$C$269&lt;&gt;0, $C$2:$C$269), 0) - 1 ) / COUNTIF($C$2:$C$269,"&gt;0")) + 1)</f>
        <v/>
      </c>
      <c r="N194" t="str">
        <f>IF(D194=0,"","Q"&amp;INT(4*( RANK(D194, IF($D$2:$D$269&lt;&gt;0, $D$2:$D$269), 0) - 1 ) / COUNTIF($D$2:$D$269,"&gt;0")) + 1)</f>
        <v/>
      </c>
      <c r="O194" t="str">
        <f>IF(E194=0,"","Q"&amp;INT(4*( RANK(E194, IF($E$2:$E$269&lt;&gt;0, $E$2:$E$269), 0) - 1 ) / COUNTIF($E$2:$E$269,"&gt;0")) + 1)</f>
        <v>Q1</v>
      </c>
      <c r="P194" t="str">
        <f>IF(F194=0,"","Q"&amp;INT(4*( RANK(F194, IF($F$2:$F$269&lt;&gt;0, $F$2:$F$269), 0) - 1 ) / COUNTIF($F$2:$F$269,"&gt;0")) + 1)</f>
        <v/>
      </c>
      <c r="Q194" t="str">
        <f>IF(G194=0,"","Q"&amp;INT(4*( RANK(G194, IF($G$2:$G$269&lt;&gt;0, $G$2:$G$269), 0) - 1 ) / COUNTIF($G$2:$G$269,"&gt;0")) + 1)</f>
        <v/>
      </c>
      <c r="R194" t="str">
        <f>IF(H194=0,"","Q"&amp;INT(4*( RANK(H194, IF($H$2:$H$269&lt;&gt;0, $H$2:$H$269), 0) - 1 ) / COUNTIF($H$2:$H$269,"&gt;0")) + 1)</f>
        <v/>
      </c>
      <c r="S194" t="str">
        <f>IF(I194=0,"","Q"&amp;INT(4*( RANK(I194, IF($I$2:$I$269&lt;&gt;0, $I$2:$I$269), 0) - 1 ) / COUNTIF($I$2:$I$269,"&gt;0")) + 1)</f>
        <v/>
      </c>
      <c r="T194" t="str">
        <f>IF(J194=0,"","Q"&amp;INT(4*( RANK(J194, IF($J$2:$J$269&lt;&gt;0, $J$2:$J$269), 0) - 1 ) / COUNTIF($J$2:$J$269,"&gt;0")) + 1)</f>
        <v/>
      </c>
      <c r="U194" t="str">
        <f>IF(K194=0,"","Q"&amp;INT(4*( RANK(K194, IF($K$2:$K$269&lt;&gt;0, $K$2:$K$269), 0) - 1 ) / COUNTIF($K$2:$K$269,"&gt;0")) + 1)</f>
        <v/>
      </c>
    </row>
    <row r="195" spans="1:21" x14ac:dyDescent="0.2">
      <c r="A195" t="s">
        <v>1005</v>
      </c>
      <c r="B195" s="2">
        <v>0</v>
      </c>
      <c r="C195" s="2">
        <v>0</v>
      </c>
      <c r="D195" s="2">
        <v>0</v>
      </c>
      <c r="E195" s="2">
        <v>8.4033613445378096E-3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t="str">
        <f>IF(B195=0,"","Q"&amp;INT(4*( RANK(B195, IF($B$2:$B$269&lt;&gt;0, $B$2:$B$269), 0) - 1 ) / COUNTIF($B$2:$B$269,"&gt;0")) + 1)</f>
        <v/>
      </c>
      <c r="M195" t="str">
        <f>IF(C195=0,"","Q"&amp;INT(4*( RANK(C195, IF($C$2:$C$269&lt;&gt;0, $C$2:$C$269), 0) - 1 ) / COUNTIF($C$2:$C$269,"&gt;0")) + 1)</f>
        <v/>
      </c>
      <c r="N195" t="str">
        <f>IF(D195=0,"","Q"&amp;INT(4*( RANK(D195, IF($D$2:$D$269&lt;&gt;0, $D$2:$D$269), 0) - 1 ) / COUNTIF($D$2:$D$269,"&gt;0")) + 1)</f>
        <v/>
      </c>
      <c r="O195" t="str">
        <f>IF(E195=0,"","Q"&amp;INT(4*( RANK(E195, IF($E$2:$E$269&lt;&gt;0, $E$2:$E$269), 0) - 1 ) / COUNTIF($E$2:$E$269,"&gt;0")) + 1)</f>
        <v>Q3</v>
      </c>
      <c r="P195" t="str">
        <f>IF(F195=0,"","Q"&amp;INT(4*( RANK(F195, IF($F$2:$F$269&lt;&gt;0, $F$2:$F$269), 0) - 1 ) / COUNTIF($F$2:$F$269,"&gt;0")) + 1)</f>
        <v/>
      </c>
      <c r="Q195" t="str">
        <f>IF(G195=0,"","Q"&amp;INT(4*( RANK(G195, IF($G$2:$G$269&lt;&gt;0, $G$2:$G$269), 0) - 1 ) / COUNTIF($G$2:$G$269,"&gt;0")) + 1)</f>
        <v/>
      </c>
      <c r="R195" t="str">
        <f>IF(H195=0,"","Q"&amp;INT(4*( RANK(H195, IF($H$2:$H$269&lt;&gt;0, $H$2:$H$269), 0) - 1 ) / COUNTIF($H$2:$H$269,"&gt;0")) + 1)</f>
        <v/>
      </c>
      <c r="S195" t="str">
        <f>IF(I195=0,"","Q"&amp;INT(4*( RANK(I195, IF($I$2:$I$269&lt;&gt;0, $I$2:$I$269), 0) - 1 ) / COUNTIF($I$2:$I$269,"&gt;0")) + 1)</f>
        <v/>
      </c>
      <c r="T195" t="str">
        <f>IF(J195=0,"","Q"&amp;INT(4*( RANK(J195, IF($J$2:$J$269&lt;&gt;0, $J$2:$J$269), 0) - 1 ) / COUNTIF($J$2:$J$269,"&gt;0")) + 1)</f>
        <v/>
      </c>
      <c r="U195" t="str">
        <f>IF(K195=0,"","Q"&amp;INT(4*( RANK(K195, IF($K$2:$K$269&lt;&gt;0, $K$2:$K$269), 0) - 1 ) / COUNTIF($K$2:$K$269,"&gt;0")) + 1)</f>
        <v/>
      </c>
    </row>
    <row r="196" spans="1:21" x14ac:dyDescent="0.2">
      <c r="A196" t="s">
        <v>1006</v>
      </c>
      <c r="B196" s="2">
        <v>0</v>
      </c>
      <c r="C196" s="2">
        <v>0</v>
      </c>
      <c r="D196" s="2">
        <v>0</v>
      </c>
      <c r="E196" s="2">
        <v>8.4033613445378096E-3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t="str">
        <f>IF(B196=0,"","Q"&amp;INT(4*( RANK(B196, IF($B$2:$B$269&lt;&gt;0, $B$2:$B$269), 0) - 1 ) / COUNTIF($B$2:$B$269,"&gt;0")) + 1)</f>
        <v/>
      </c>
      <c r="M196" t="str">
        <f>IF(C196=0,"","Q"&amp;INT(4*( RANK(C196, IF($C$2:$C$269&lt;&gt;0, $C$2:$C$269), 0) - 1 ) / COUNTIF($C$2:$C$269,"&gt;0")) + 1)</f>
        <v/>
      </c>
      <c r="N196" t="str">
        <f>IF(D196=0,"","Q"&amp;INT(4*( RANK(D196, IF($D$2:$D$269&lt;&gt;0, $D$2:$D$269), 0) - 1 ) / COUNTIF($D$2:$D$269,"&gt;0")) + 1)</f>
        <v/>
      </c>
      <c r="O196" t="str">
        <f>IF(E196=0,"","Q"&amp;INT(4*( RANK(E196, IF($E$2:$E$269&lt;&gt;0, $E$2:$E$269), 0) - 1 ) / COUNTIF($E$2:$E$269,"&gt;0")) + 1)</f>
        <v>Q3</v>
      </c>
      <c r="P196" t="str">
        <f>IF(F196=0,"","Q"&amp;INT(4*( RANK(F196, IF($F$2:$F$269&lt;&gt;0, $F$2:$F$269), 0) - 1 ) / COUNTIF($F$2:$F$269,"&gt;0")) + 1)</f>
        <v/>
      </c>
      <c r="Q196" t="str">
        <f>IF(G196=0,"","Q"&amp;INT(4*( RANK(G196, IF($G$2:$G$269&lt;&gt;0, $G$2:$G$269), 0) - 1 ) / COUNTIF($G$2:$G$269,"&gt;0")) + 1)</f>
        <v/>
      </c>
      <c r="R196" t="str">
        <f>IF(H196=0,"","Q"&amp;INT(4*( RANK(H196, IF($H$2:$H$269&lt;&gt;0, $H$2:$H$269), 0) - 1 ) / COUNTIF($H$2:$H$269,"&gt;0")) + 1)</f>
        <v/>
      </c>
      <c r="S196" t="str">
        <f>IF(I196=0,"","Q"&amp;INT(4*( RANK(I196, IF($I$2:$I$269&lt;&gt;0, $I$2:$I$269), 0) - 1 ) / COUNTIF($I$2:$I$269,"&gt;0")) + 1)</f>
        <v/>
      </c>
      <c r="T196" t="str">
        <f>IF(J196=0,"","Q"&amp;INT(4*( RANK(J196, IF($J$2:$J$269&lt;&gt;0, $J$2:$J$269), 0) - 1 ) / COUNTIF($J$2:$J$269,"&gt;0")) + 1)</f>
        <v/>
      </c>
      <c r="U196" t="str">
        <f>IF(K196=0,"","Q"&amp;INT(4*( RANK(K196, IF($K$2:$K$269&lt;&gt;0, $K$2:$K$269), 0) - 1 ) / COUNTIF($K$2:$K$269,"&gt;0")) + 1)</f>
        <v/>
      </c>
    </row>
    <row r="197" spans="1:21" x14ac:dyDescent="0.2">
      <c r="A197" t="s">
        <v>1007</v>
      </c>
      <c r="B197" s="2">
        <v>0</v>
      </c>
      <c r="C197" s="2">
        <v>0</v>
      </c>
      <c r="D197" s="2">
        <v>0</v>
      </c>
      <c r="E197" s="2">
        <v>8.4033613445378096E-3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5.8823529411764698E-2</v>
      </c>
      <c r="L197" t="str">
        <f>IF(B197=0,"","Q"&amp;INT(4*( RANK(B197, IF($B$2:$B$269&lt;&gt;0, $B$2:$B$269), 0) - 1 ) / COUNTIF($B$2:$B$269,"&gt;0")) + 1)</f>
        <v/>
      </c>
      <c r="M197" t="str">
        <f>IF(C197=0,"","Q"&amp;INT(4*( RANK(C197, IF($C$2:$C$269&lt;&gt;0, $C$2:$C$269), 0) - 1 ) / COUNTIF($C$2:$C$269,"&gt;0")) + 1)</f>
        <v/>
      </c>
      <c r="N197" t="str">
        <f>IF(D197=0,"","Q"&amp;INT(4*( RANK(D197, IF($D$2:$D$269&lt;&gt;0, $D$2:$D$269), 0) - 1 ) / COUNTIF($D$2:$D$269,"&gt;0")) + 1)</f>
        <v/>
      </c>
      <c r="O197" t="str">
        <f>IF(E197=0,"","Q"&amp;INT(4*( RANK(E197, IF($E$2:$E$269&lt;&gt;0, $E$2:$E$269), 0) - 1 ) / COUNTIF($E$2:$E$269,"&gt;0")) + 1)</f>
        <v>Q3</v>
      </c>
      <c r="P197" t="str">
        <f>IF(F197=0,"","Q"&amp;INT(4*( RANK(F197, IF($F$2:$F$269&lt;&gt;0, $F$2:$F$269), 0) - 1 ) / COUNTIF($F$2:$F$269,"&gt;0")) + 1)</f>
        <v/>
      </c>
      <c r="Q197" t="str">
        <f>IF(G197=0,"","Q"&amp;INT(4*( RANK(G197, IF($G$2:$G$269&lt;&gt;0, $G$2:$G$269), 0) - 1 ) / COUNTIF($G$2:$G$269,"&gt;0")) + 1)</f>
        <v/>
      </c>
      <c r="R197" t="str">
        <f>IF(H197=0,"","Q"&amp;INT(4*( RANK(H197, IF($H$2:$H$269&lt;&gt;0, $H$2:$H$269), 0) - 1 ) / COUNTIF($H$2:$H$269,"&gt;0")) + 1)</f>
        <v/>
      </c>
      <c r="S197" t="str">
        <f>IF(I197=0,"","Q"&amp;INT(4*( RANK(I197, IF($I$2:$I$269&lt;&gt;0, $I$2:$I$269), 0) - 1 ) / COUNTIF($I$2:$I$269,"&gt;0")) + 1)</f>
        <v/>
      </c>
      <c r="T197" t="str">
        <f>IF(J197=0,"","Q"&amp;INT(4*( RANK(J197, IF($J$2:$J$269&lt;&gt;0, $J$2:$J$269), 0) - 1 ) / COUNTIF($J$2:$J$269,"&gt;0")) + 1)</f>
        <v/>
      </c>
      <c r="U197" t="str">
        <f>IF(K197=0,"","Q"&amp;INT(4*( RANK(K197, IF($K$2:$K$269&lt;&gt;0, $K$2:$K$269), 0) - 1 ) / COUNTIF($K$2:$K$269,"&gt;0")) + 1)</f>
        <v>Q4</v>
      </c>
    </row>
    <row r="198" spans="1:21" x14ac:dyDescent="0.2">
      <c r="A198" t="s">
        <v>1073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6.9767441860465101E-2</v>
      </c>
      <c r="K198" s="2">
        <v>0</v>
      </c>
      <c r="L198" t="str">
        <f>IF(B198=0,"","Q"&amp;INT(4*( RANK(B198, IF($B$2:$B$269&lt;&gt;0, $B$2:$B$269), 0) - 1 ) / COUNTIF($B$2:$B$269,"&gt;0")) + 1)</f>
        <v/>
      </c>
      <c r="M198" t="str">
        <f>IF(C198=0,"","Q"&amp;INT(4*( RANK(C198, IF($C$2:$C$269&lt;&gt;0, $C$2:$C$269), 0) - 1 ) / COUNTIF($C$2:$C$269,"&gt;0")) + 1)</f>
        <v/>
      </c>
      <c r="N198" t="str">
        <f>IF(D198=0,"","Q"&amp;INT(4*( RANK(D198, IF($D$2:$D$269&lt;&gt;0, $D$2:$D$269), 0) - 1 ) / COUNTIF($D$2:$D$269,"&gt;0")) + 1)</f>
        <v/>
      </c>
      <c r="O198" t="str">
        <f>IF(E198=0,"","Q"&amp;INT(4*( RANK(E198, IF($E$2:$E$269&lt;&gt;0, $E$2:$E$269), 0) - 1 ) / COUNTIF($E$2:$E$269,"&gt;0")) + 1)</f>
        <v/>
      </c>
      <c r="P198" t="str">
        <f>IF(F198=0,"","Q"&amp;INT(4*( RANK(F198, IF($F$2:$F$269&lt;&gt;0, $F$2:$F$269), 0) - 1 ) / COUNTIF($F$2:$F$269,"&gt;0")) + 1)</f>
        <v/>
      </c>
      <c r="Q198" t="str">
        <f>IF(G198=0,"","Q"&amp;INT(4*( RANK(G198, IF($G$2:$G$269&lt;&gt;0, $G$2:$G$269), 0) - 1 ) / COUNTIF($G$2:$G$269,"&gt;0")) + 1)</f>
        <v/>
      </c>
      <c r="R198" t="str">
        <f>IF(H198=0,"","Q"&amp;INT(4*( RANK(H198, IF($H$2:$H$269&lt;&gt;0, $H$2:$H$269), 0) - 1 ) / COUNTIF($H$2:$H$269,"&gt;0")) + 1)</f>
        <v/>
      </c>
      <c r="S198" t="str">
        <f>IF(I198=0,"","Q"&amp;INT(4*( RANK(I198, IF($I$2:$I$269&lt;&gt;0, $I$2:$I$269), 0) - 1 ) / COUNTIF($I$2:$I$269,"&gt;0")) + 1)</f>
        <v/>
      </c>
      <c r="T198" t="str">
        <f>IF(J198=0,"","Q"&amp;INT(4*( RANK(J198, IF($J$2:$J$269&lt;&gt;0, $J$2:$J$269), 0) - 1 ) / COUNTIF($J$2:$J$269,"&gt;0")) + 1)</f>
        <v>Q3</v>
      </c>
      <c r="U198" t="str">
        <f>IF(K198=0,"","Q"&amp;INT(4*( RANK(K198, IF($K$2:$K$269&lt;&gt;0, $K$2:$K$269), 0) - 1 ) / COUNTIF($K$2:$K$269,"&gt;0")) + 1)</f>
        <v/>
      </c>
    </row>
    <row r="199" spans="1:21" x14ac:dyDescent="0.2">
      <c r="A199" t="s">
        <v>276</v>
      </c>
      <c r="B199" s="2">
        <v>0</v>
      </c>
      <c r="C199" s="2">
        <v>0</v>
      </c>
      <c r="D199" s="2">
        <v>0</v>
      </c>
      <c r="E199" s="2">
        <v>4.2016806722688996E-3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t="str">
        <f>IF(B199=0,"","Q"&amp;INT(4*( RANK(B199, IF($B$2:$B$269&lt;&gt;0, $B$2:$B$269), 0) - 1 ) / COUNTIF($B$2:$B$269,"&gt;0")) + 1)</f>
        <v/>
      </c>
      <c r="M199" t="str">
        <f>IF(C199=0,"","Q"&amp;INT(4*( RANK(C199, IF($C$2:$C$269&lt;&gt;0, $C$2:$C$269), 0) - 1 ) / COUNTIF($C$2:$C$269,"&gt;0")) + 1)</f>
        <v/>
      </c>
      <c r="N199" t="str">
        <f>IF(D199=0,"","Q"&amp;INT(4*( RANK(D199, IF($D$2:$D$269&lt;&gt;0, $D$2:$D$269), 0) - 1 ) / COUNTIF($D$2:$D$269,"&gt;0")) + 1)</f>
        <v/>
      </c>
      <c r="O199" t="str">
        <f>IF(E199=0,"","Q"&amp;INT(4*( RANK(E199, IF($E$2:$E$269&lt;&gt;0, $E$2:$E$269), 0) - 1 ) / COUNTIF($E$2:$E$269,"&gt;0")) + 1)</f>
        <v>Q4</v>
      </c>
      <c r="P199" t="str">
        <f>IF(F199=0,"","Q"&amp;INT(4*( RANK(F199, IF($F$2:$F$269&lt;&gt;0, $F$2:$F$269), 0) - 1 ) / COUNTIF($F$2:$F$269,"&gt;0")) + 1)</f>
        <v/>
      </c>
      <c r="Q199" t="str">
        <f>IF(G199=0,"","Q"&amp;INT(4*( RANK(G199, IF($G$2:$G$269&lt;&gt;0, $G$2:$G$269), 0) - 1 ) / COUNTIF($G$2:$G$269,"&gt;0")) + 1)</f>
        <v/>
      </c>
      <c r="R199" t="str">
        <f>IF(H199=0,"","Q"&amp;INT(4*( RANK(H199, IF($H$2:$H$269&lt;&gt;0, $H$2:$H$269), 0) - 1 ) / COUNTIF($H$2:$H$269,"&gt;0")) + 1)</f>
        <v/>
      </c>
      <c r="S199" t="str">
        <f>IF(I199=0,"","Q"&amp;INT(4*( RANK(I199, IF($I$2:$I$269&lt;&gt;0, $I$2:$I$269), 0) - 1 ) / COUNTIF($I$2:$I$269,"&gt;0")) + 1)</f>
        <v/>
      </c>
      <c r="T199" t="str">
        <f>IF(J199=0,"","Q"&amp;INT(4*( RANK(J199, IF($J$2:$J$269&lt;&gt;0, $J$2:$J$269), 0) - 1 ) / COUNTIF($J$2:$J$269,"&gt;0")) + 1)</f>
        <v/>
      </c>
      <c r="U199" t="str">
        <f>IF(K199=0,"","Q"&amp;INT(4*( RANK(K199, IF($K$2:$K$269&lt;&gt;0, $K$2:$K$269), 0) - 1 ) / COUNTIF($K$2:$K$269,"&gt;0")) + 1)</f>
        <v/>
      </c>
    </row>
    <row r="200" spans="1:21" x14ac:dyDescent="0.2">
      <c r="A200" t="s">
        <v>277</v>
      </c>
      <c r="B200" s="2">
        <v>0</v>
      </c>
      <c r="C200" s="2">
        <v>0</v>
      </c>
      <c r="D200" s="2">
        <v>0</v>
      </c>
      <c r="E200" s="2">
        <v>4.2016806722688996E-3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t="str">
        <f>IF(B200=0,"","Q"&amp;INT(4*( RANK(B200, IF($B$2:$B$269&lt;&gt;0, $B$2:$B$269), 0) - 1 ) / COUNTIF($B$2:$B$269,"&gt;0")) + 1)</f>
        <v/>
      </c>
      <c r="M200" t="str">
        <f>IF(C200=0,"","Q"&amp;INT(4*( RANK(C200, IF($C$2:$C$269&lt;&gt;0, $C$2:$C$269), 0) - 1 ) / COUNTIF($C$2:$C$269,"&gt;0")) + 1)</f>
        <v/>
      </c>
      <c r="N200" t="str">
        <f>IF(D200=0,"","Q"&amp;INT(4*( RANK(D200, IF($D$2:$D$269&lt;&gt;0, $D$2:$D$269), 0) - 1 ) / COUNTIF($D$2:$D$269,"&gt;0")) + 1)</f>
        <v/>
      </c>
      <c r="O200" t="str">
        <f>IF(E200=0,"","Q"&amp;INT(4*( RANK(E200, IF($E$2:$E$269&lt;&gt;0, $E$2:$E$269), 0) - 1 ) / COUNTIF($E$2:$E$269,"&gt;0")) + 1)</f>
        <v>Q4</v>
      </c>
      <c r="P200" t="str">
        <f>IF(F200=0,"","Q"&amp;INT(4*( RANK(F200, IF($F$2:$F$269&lt;&gt;0, $F$2:$F$269), 0) - 1 ) / COUNTIF($F$2:$F$269,"&gt;0")) + 1)</f>
        <v/>
      </c>
      <c r="Q200" t="str">
        <f>IF(G200=0,"","Q"&amp;INT(4*( RANK(G200, IF($G$2:$G$269&lt;&gt;0, $G$2:$G$269), 0) - 1 ) / COUNTIF($G$2:$G$269,"&gt;0")) + 1)</f>
        <v/>
      </c>
      <c r="R200" t="str">
        <f>IF(H200=0,"","Q"&amp;INT(4*( RANK(H200, IF($H$2:$H$269&lt;&gt;0, $H$2:$H$269), 0) - 1 ) / COUNTIF($H$2:$H$269,"&gt;0")) + 1)</f>
        <v/>
      </c>
      <c r="S200" t="str">
        <f>IF(I200=0,"","Q"&amp;INT(4*( RANK(I200, IF($I$2:$I$269&lt;&gt;0, $I$2:$I$269), 0) - 1 ) / COUNTIF($I$2:$I$269,"&gt;0")) + 1)</f>
        <v/>
      </c>
      <c r="T200" t="str">
        <f>IF(J200=0,"","Q"&amp;INT(4*( RANK(J200, IF($J$2:$J$269&lt;&gt;0, $J$2:$J$269), 0) - 1 ) / COUNTIF($J$2:$J$269,"&gt;0")) + 1)</f>
        <v/>
      </c>
      <c r="U200" t="str">
        <f>IF(K200=0,"","Q"&amp;INT(4*( RANK(K200, IF($K$2:$K$269&lt;&gt;0, $K$2:$K$269), 0) - 1 ) / COUNTIF($K$2:$K$269,"&gt;0")) + 1)</f>
        <v/>
      </c>
    </row>
    <row r="201" spans="1:21" x14ac:dyDescent="0.2">
      <c r="A201" t="s">
        <v>278</v>
      </c>
      <c r="B201" s="2">
        <v>0</v>
      </c>
      <c r="C201" s="2">
        <v>0</v>
      </c>
      <c r="D201" s="2">
        <v>0</v>
      </c>
      <c r="E201" s="2">
        <v>4.2016806722688996E-3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t="str">
        <f>IF(B201=0,"","Q"&amp;INT(4*( RANK(B201, IF($B$2:$B$269&lt;&gt;0, $B$2:$B$269), 0) - 1 ) / COUNTIF($B$2:$B$269,"&gt;0")) + 1)</f>
        <v/>
      </c>
      <c r="M201" t="str">
        <f>IF(C201=0,"","Q"&amp;INT(4*( RANK(C201, IF($C$2:$C$269&lt;&gt;0, $C$2:$C$269), 0) - 1 ) / COUNTIF($C$2:$C$269,"&gt;0")) + 1)</f>
        <v/>
      </c>
      <c r="N201" t="str">
        <f>IF(D201=0,"","Q"&amp;INT(4*( RANK(D201, IF($D$2:$D$269&lt;&gt;0, $D$2:$D$269), 0) - 1 ) / COUNTIF($D$2:$D$269,"&gt;0")) + 1)</f>
        <v/>
      </c>
      <c r="O201" t="str">
        <f>IF(E201=0,"","Q"&amp;INT(4*( RANK(E201, IF($E$2:$E$269&lt;&gt;0, $E$2:$E$269), 0) - 1 ) / COUNTIF($E$2:$E$269,"&gt;0")) + 1)</f>
        <v>Q4</v>
      </c>
      <c r="P201" t="str">
        <f>IF(F201=0,"","Q"&amp;INT(4*( RANK(F201, IF($F$2:$F$269&lt;&gt;0, $F$2:$F$269), 0) - 1 ) / COUNTIF($F$2:$F$269,"&gt;0")) + 1)</f>
        <v/>
      </c>
      <c r="Q201" t="str">
        <f>IF(G201=0,"","Q"&amp;INT(4*( RANK(G201, IF($G$2:$G$269&lt;&gt;0, $G$2:$G$269), 0) - 1 ) / COUNTIF($G$2:$G$269,"&gt;0")) + 1)</f>
        <v/>
      </c>
      <c r="R201" t="str">
        <f>IF(H201=0,"","Q"&amp;INT(4*( RANK(H201, IF($H$2:$H$269&lt;&gt;0, $H$2:$H$269), 0) - 1 ) / COUNTIF($H$2:$H$269,"&gt;0")) + 1)</f>
        <v/>
      </c>
      <c r="S201" t="str">
        <f>IF(I201=0,"","Q"&amp;INT(4*( RANK(I201, IF($I$2:$I$269&lt;&gt;0, $I$2:$I$269), 0) - 1 ) / COUNTIF($I$2:$I$269,"&gt;0")) + 1)</f>
        <v/>
      </c>
      <c r="T201" t="str">
        <f>IF(J201=0,"","Q"&amp;INT(4*( RANK(J201, IF($J$2:$J$269&lt;&gt;0, $J$2:$J$269), 0) - 1 ) / COUNTIF($J$2:$J$269,"&gt;0")) + 1)</f>
        <v/>
      </c>
      <c r="U201" t="str">
        <f>IF(K201=0,"","Q"&amp;INT(4*( RANK(K201, IF($K$2:$K$269&lt;&gt;0, $K$2:$K$269), 0) - 1 ) / COUNTIF($K$2:$K$269,"&gt;0")) + 1)</f>
        <v/>
      </c>
    </row>
    <row r="202" spans="1:21" x14ac:dyDescent="0.2">
      <c r="A202" t="s">
        <v>1074</v>
      </c>
      <c r="B202" s="2">
        <v>0</v>
      </c>
      <c r="C202" s="2">
        <v>0</v>
      </c>
      <c r="D202" s="2">
        <v>0</v>
      </c>
      <c r="E202" s="2">
        <v>1.26050420168067E-2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t="str">
        <f>IF(B202=0,"","Q"&amp;INT(4*( RANK(B202, IF($B$2:$B$269&lt;&gt;0, $B$2:$B$269), 0) - 1 ) / COUNTIF($B$2:$B$269,"&gt;0")) + 1)</f>
        <v/>
      </c>
      <c r="M202" t="str">
        <f>IF(C202=0,"","Q"&amp;INT(4*( RANK(C202, IF($C$2:$C$269&lt;&gt;0, $C$2:$C$269), 0) - 1 ) / COUNTIF($C$2:$C$269,"&gt;0")) + 1)</f>
        <v/>
      </c>
      <c r="N202" t="str">
        <f>IF(D202=0,"","Q"&amp;INT(4*( RANK(D202, IF($D$2:$D$269&lt;&gt;0, $D$2:$D$269), 0) - 1 ) / COUNTIF($D$2:$D$269,"&gt;0")) + 1)</f>
        <v/>
      </c>
      <c r="O202" t="str">
        <f>IF(E202=0,"","Q"&amp;INT(4*( RANK(E202, IF($E$2:$E$269&lt;&gt;0, $E$2:$E$269), 0) - 1 ) / COUNTIF($E$2:$E$269,"&gt;0")) + 1)</f>
        <v>Q2</v>
      </c>
      <c r="P202" t="str">
        <f>IF(F202=0,"","Q"&amp;INT(4*( RANK(F202, IF($F$2:$F$269&lt;&gt;0, $F$2:$F$269), 0) - 1 ) / COUNTIF($F$2:$F$269,"&gt;0")) + 1)</f>
        <v/>
      </c>
      <c r="Q202" t="str">
        <f>IF(G202=0,"","Q"&amp;INT(4*( RANK(G202, IF($G$2:$G$269&lt;&gt;0, $G$2:$G$269), 0) - 1 ) / COUNTIF($G$2:$G$269,"&gt;0")) + 1)</f>
        <v/>
      </c>
      <c r="R202" t="str">
        <f>IF(H202=0,"","Q"&amp;INT(4*( RANK(H202, IF($H$2:$H$269&lt;&gt;0, $H$2:$H$269), 0) - 1 ) / COUNTIF($H$2:$H$269,"&gt;0")) + 1)</f>
        <v/>
      </c>
      <c r="S202" t="str">
        <f>IF(I202=0,"","Q"&amp;INT(4*( RANK(I202, IF($I$2:$I$269&lt;&gt;0, $I$2:$I$269), 0) - 1 ) / COUNTIF($I$2:$I$269,"&gt;0")) + 1)</f>
        <v/>
      </c>
      <c r="T202" t="str">
        <f>IF(J202=0,"","Q"&amp;INT(4*( RANK(J202, IF($J$2:$J$269&lt;&gt;0, $J$2:$J$269), 0) - 1 ) / COUNTIF($J$2:$J$269,"&gt;0")) + 1)</f>
        <v/>
      </c>
      <c r="U202" t="str">
        <f>IF(K202=0,"","Q"&amp;INT(4*( RANK(K202, IF($K$2:$K$269&lt;&gt;0, $K$2:$K$269), 0) - 1 ) / COUNTIF($K$2:$K$269,"&gt;0")) + 1)</f>
        <v/>
      </c>
    </row>
    <row r="203" spans="1:21" x14ac:dyDescent="0.2">
      <c r="A203" t="s">
        <v>280</v>
      </c>
      <c r="B203" s="2">
        <v>0</v>
      </c>
      <c r="C203" s="2">
        <v>0</v>
      </c>
      <c r="D203" s="2">
        <v>0</v>
      </c>
      <c r="E203" s="2">
        <v>4.2016806722688996E-3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t="str">
        <f>IF(B203=0,"","Q"&amp;INT(4*( RANK(B203, IF($B$2:$B$269&lt;&gt;0, $B$2:$B$269), 0) - 1 ) / COUNTIF($B$2:$B$269,"&gt;0")) + 1)</f>
        <v/>
      </c>
      <c r="M203" t="str">
        <f>IF(C203=0,"","Q"&amp;INT(4*( RANK(C203, IF($C$2:$C$269&lt;&gt;0, $C$2:$C$269), 0) - 1 ) / COUNTIF($C$2:$C$269,"&gt;0")) + 1)</f>
        <v/>
      </c>
      <c r="N203" t="str">
        <f>IF(D203=0,"","Q"&amp;INT(4*( RANK(D203, IF($D$2:$D$269&lt;&gt;0, $D$2:$D$269), 0) - 1 ) / COUNTIF($D$2:$D$269,"&gt;0")) + 1)</f>
        <v/>
      </c>
      <c r="O203" t="str">
        <f>IF(E203=0,"","Q"&amp;INT(4*( RANK(E203, IF($E$2:$E$269&lt;&gt;0, $E$2:$E$269), 0) - 1 ) / COUNTIF($E$2:$E$269,"&gt;0")) + 1)</f>
        <v>Q4</v>
      </c>
      <c r="P203" t="str">
        <f>IF(F203=0,"","Q"&amp;INT(4*( RANK(F203, IF($F$2:$F$269&lt;&gt;0, $F$2:$F$269), 0) - 1 ) / COUNTIF($F$2:$F$269,"&gt;0")) + 1)</f>
        <v/>
      </c>
      <c r="Q203" t="str">
        <f>IF(G203=0,"","Q"&amp;INT(4*( RANK(G203, IF($G$2:$G$269&lt;&gt;0, $G$2:$G$269), 0) - 1 ) / COUNTIF($G$2:$G$269,"&gt;0")) + 1)</f>
        <v/>
      </c>
      <c r="R203" t="str">
        <f>IF(H203=0,"","Q"&amp;INT(4*( RANK(H203, IF($H$2:$H$269&lt;&gt;0, $H$2:$H$269), 0) - 1 ) / COUNTIF($H$2:$H$269,"&gt;0")) + 1)</f>
        <v/>
      </c>
      <c r="S203" t="str">
        <f>IF(I203=0,"","Q"&amp;INT(4*( RANK(I203, IF($I$2:$I$269&lt;&gt;0, $I$2:$I$269), 0) - 1 ) / COUNTIF($I$2:$I$269,"&gt;0")) + 1)</f>
        <v/>
      </c>
      <c r="T203" t="str">
        <f>IF(J203=0,"","Q"&amp;INT(4*( RANK(J203, IF($J$2:$J$269&lt;&gt;0, $J$2:$J$269), 0) - 1 ) / COUNTIF($J$2:$J$269,"&gt;0")) + 1)</f>
        <v/>
      </c>
      <c r="U203" t="str">
        <f>IF(K203=0,"","Q"&amp;INT(4*( RANK(K203, IF($K$2:$K$269&lt;&gt;0, $K$2:$K$269), 0) - 1 ) / COUNTIF($K$2:$K$269,"&gt;0")) + 1)</f>
        <v/>
      </c>
    </row>
    <row r="204" spans="1:21" x14ac:dyDescent="0.2">
      <c r="A204" t="s">
        <v>281</v>
      </c>
      <c r="B204" s="2">
        <v>0</v>
      </c>
      <c r="C204" s="2">
        <v>0</v>
      </c>
      <c r="D204" s="2">
        <v>0</v>
      </c>
      <c r="E204" s="2">
        <v>8.4033613445378096E-3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t="str">
        <f>IF(B204=0,"","Q"&amp;INT(4*( RANK(B204, IF($B$2:$B$269&lt;&gt;0, $B$2:$B$269), 0) - 1 ) / COUNTIF($B$2:$B$269,"&gt;0")) + 1)</f>
        <v/>
      </c>
      <c r="M204" t="str">
        <f>IF(C204=0,"","Q"&amp;INT(4*( RANK(C204, IF($C$2:$C$269&lt;&gt;0, $C$2:$C$269), 0) - 1 ) / COUNTIF($C$2:$C$269,"&gt;0")) + 1)</f>
        <v/>
      </c>
      <c r="N204" t="str">
        <f>IF(D204=0,"","Q"&amp;INT(4*( RANK(D204, IF($D$2:$D$269&lt;&gt;0, $D$2:$D$269), 0) - 1 ) / COUNTIF($D$2:$D$269,"&gt;0")) + 1)</f>
        <v/>
      </c>
      <c r="O204" t="str">
        <f>IF(E204=0,"","Q"&amp;INT(4*( RANK(E204, IF($E$2:$E$269&lt;&gt;0, $E$2:$E$269), 0) - 1 ) / COUNTIF($E$2:$E$269,"&gt;0")) + 1)</f>
        <v>Q3</v>
      </c>
      <c r="P204" t="str">
        <f>IF(F204=0,"","Q"&amp;INT(4*( RANK(F204, IF($F$2:$F$269&lt;&gt;0, $F$2:$F$269), 0) - 1 ) / COUNTIF($F$2:$F$269,"&gt;0")) + 1)</f>
        <v/>
      </c>
      <c r="Q204" t="str">
        <f>IF(G204=0,"","Q"&amp;INT(4*( RANK(G204, IF($G$2:$G$269&lt;&gt;0, $G$2:$G$269), 0) - 1 ) / COUNTIF($G$2:$G$269,"&gt;0")) + 1)</f>
        <v/>
      </c>
      <c r="R204" t="str">
        <f>IF(H204=0,"","Q"&amp;INT(4*( RANK(H204, IF($H$2:$H$269&lt;&gt;0, $H$2:$H$269), 0) - 1 ) / COUNTIF($H$2:$H$269,"&gt;0")) + 1)</f>
        <v/>
      </c>
      <c r="S204" t="str">
        <f>IF(I204=0,"","Q"&amp;INT(4*( RANK(I204, IF($I$2:$I$269&lt;&gt;0, $I$2:$I$269), 0) - 1 ) / COUNTIF($I$2:$I$269,"&gt;0")) + 1)</f>
        <v/>
      </c>
      <c r="T204" t="str">
        <f>IF(J204=0,"","Q"&amp;INT(4*( RANK(J204, IF($J$2:$J$269&lt;&gt;0, $J$2:$J$269), 0) - 1 ) / COUNTIF($J$2:$J$269,"&gt;0")) + 1)</f>
        <v/>
      </c>
      <c r="U204" t="str">
        <f>IF(K204=0,"","Q"&amp;INT(4*( RANK(K204, IF($K$2:$K$269&lt;&gt;0, $K$2:$K$269), 0) - 1 ) / COUNTIF($K$2:$K$269,"&gt;0")) + 1)</f>
        <v/>
      </c>
    </row>
    <row r="205" spans="1:21" x14ac:dyDescent="0.2">
      <c r="A205" t="s">
        <v>1008</v>
      </c>
      <c r="B205" s="2">
        <v>0</v>
      </c>
      <c r="C205" s="2">
        <v>0</v>
      </c>
      <c r="D205" s="2">
        <v>0</v>
      </c>
      <c r="E205" s="2">
        <v>8.4033613445378096E-3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t="str">
        <f>IF(B205=0,"","Q"&amp;INT(4*( RANK(B205, IF($B$2:$B$269&lt;&gt;0, $B$2:$B$269), 0) - 1 ) / COUNTIF($B$2:$B$269,"&gt;0")) + 1)</f>
        <v/>
      </c>
      <c r="M205" t="str">
        <f>IF(C205=0,"","Q"&amp;INT(4*( RANK(C205, IF($C$2:$C$269&lt;&gt;0, $C$2:$C$269), 0) - 1 ) / COUNTIF($C$2:$C$269,"&gt;0")) + 1)</f>
        <v/>
      </c>
      <c r="N205" t="str">
        <f>IF(D205=0,"","Q"&amp;INT(4*( RANK(D205, IF($D$2:$D$269&lt;&gt;0, $D$2:$D$269), 0) - 1 ) / COUNTIF($D$2:$D$269,"&gt;0")) + 1)</f>
        <v/>
      </c>
      <c r="O205" t="str">
        <f>IF(E205=0,"","Q"&amp;INT(4*( RANK(E205, IF($E$2:$E$269&lt;&gt;0, $E$2:$E$269), 0) - 1 ) / COUNTIF($E$2:$E$269,"&gt;0")) + 1)</f>
        <v>Q3</v>
      </c>
      <c r="P205" t="str">
        <f>IF(F205=0,"","Q"&amp;INT(4*( RANK(F205, IF($F$2:$F$269&lt;&gt;0, $F$2:$F$269), 0) - 1 ) / COUNTIF($F$2:$F$269,"&gt;0")) + 1)</f>
        <v/>
      </c>
      <c r="Q205" t="str">
        <f>IF(G205=0,"","Q"&amp;INT(4*( RANK(G205, IF($G$2:$G$269&lt;&gt;0, $G$2:$G$269), 0) - 1 ) / COUNTIF($G$2:$G$269,"&gt;0")) + 1)</f>
        <v/>
      </c>
      <c r="R205" t="str">
        <f>IF(H205=0,"","Q"&amp;INT(4*( RANK(H205, IF($H$2:$H$269&lt;&gt;0, $H$2:$H$269), 0) - 1 ) / COUNTIF($H$2:$H$269,"&gt;0")) + 1)</f>
        <v/>
      </c>
      <c r="S205" t="str">
        <f>IF(I205=0,"","Q"&amp;INT(4*( RANK(I205, IF($I$2:$I$269&lt;&gt;0, $I$2:$I$269), 0) - 1 ) / COUNTIF($I$2:$I$269,"&gt;0")) + 1)</f>
        <v/>
      </c>
      <c r="T205" t="str">
        <f>IF(J205=0,"","Q"&amp;INT(4*( RANK(J205, IF($J$2:$J$269&lt;&gt;0, $J$2:$J$269), 0) - 1 ) / COUNTIF($J$2:$J$269,"&gt;0")) + 1)</f>
        <v/>
      </c>
      <c r="U205" t="str">
        <f>IF(K205=0,"","Q"&amp;INT(4*( RANK(K205, IF($K$2:$K$269&lt;&gt;0, $K$2:$K$269), 0) - 1 ) / COUNTIF($K$2:$K$269,"&gt;0")) + 1)</f>
        <v/>
      </c>
    </row>
    <row r="206" spans="1:21" x14ac:dyDescent="0.2">
      <c r="A206" t="s">
        <v>1009</v>
      </c>
      <c r="B206" s="2">
        <v>0</v>
      </c>
      <c r="C206" s="2">
        <v>0</v>
      </c>
      <c r="D206" s="2">
        <v>0</v>
      </c>
      <c r="E206" s="2">
        <v>8.4033613445378096E-3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t="str">
        <f>IF(B206=0,"","Q"&amp;INT(4*( RANK(B206, IF($B$2:$B$269&lt;&gt;0, $B$2:$B$269), 0) - 1 ) / COUNTIF($B$2:$B$269,"&gt;0")) + 1)</f>
        <v/>
      </c>
      <c r="M206" t="str">
        <f>IF(C206=0,"","Q"&amp;INT(4*( RANK(C206, IF($C$2:$C$269&lt;&gt;0, $C$2:$C$269), 0) - 1 ) / COUNTIF($C$2:$C$269,"&gt;0")) + 1)</f>
        <v/>
      </c>
      <c r="N206" t="str">
        <f>IF(D206=0,"","Q"&amp;INT(4*( RANK(D206, IF($D$2:$D$269&lt;&gt;0, $D$2:$D$269), 0) - 1 ) / COUNTIF($D$2:$D$269,"&gt;0")) + 1)</f>
        <v/>
      </c>
      <c r="O206" t="str">
        <f>IF(E206=0,"","Q"&amp;INT(4*( RANK(E206, IF($E$2:$E$269&lt;&gt;0, $E$2:$E$269), 0) - 1 ) / COUNTIF($E$2:$E$269,"&gt;0")) + 1)</f>
        <v>Q3</v>
      </c>
      <c r="P206" t="str">
        <f>IF(F206=0,"","Q"&amp;INT(4*( RANK(F206, IF($F$2:$F$269&lt;&gt;0, $F$2:$F$269), 0) - 1 ) / COUNTIF($F$2:$F$269,"&gt;0")) + 1)</f>
        <v/>
      </c>
      <c r="Q206" t="str">
        <f>IF(G206=0,"","Q"&amp;INT(4*( RANK(G206, IF($G$2:$G$269&lt;&gt;0, $G$2:$G$269), 0) - 1 ) / COUNTIF($G$2:$G$269,"&gt;0")) + 1)</f>
        <v/>
      </c>
      <c r="R206" t="str">
        <f>IF(H206=0,"","Q"&amp;INT(4*( RANK(H206, IF($H$2:$H$269&lt;&gt;0, $H$2:$H$269), 0) - 1 ) / COUNTIF($H$2:$H$269,"&gt;0")) + 1)</f>
        <v/>
      </c>
      <c r="S206" t="str">
        <f>IF(I206=0,"","Q"&amp;INT(4*( RANK(I206, IF($I$2:$I$269&lt;&gt;0, $I$2:$I$269), 0) - 1 ) / COUNTIF($I$2:$I$269,"&gt;0")) + 1)</f>
        <v/>
      </c>
      <c r="T206" t="str">
        <f>IF(J206=0,"","Q"&amp;INT(4*( RANK(J206, IF($J$2:$J$269&lt;&gt;0, $J$2:$J$269), 0) - 1 ) / COUNTIF($J$2:$J$269,"&gt;0")) + 1)</f>
        <v/>
      </c>
      <c r="U206" t="str">
        <f>IF(K206=0,"","Q"&amp;INT(4*( RANK(K206, IF($K$2:$K$269&lt;&gt;0, $K$2:$K$269), 0) - 1 ) / COUNTIF($K$2:$K$269,"&gt;0")) + 1)</f>
        <v/>
      </c>
    </row>
    <row r="207" spans="1:21" x14ac:dyDescent="0.2">
      <c r="A207" t="s">
        <v>1010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0.11111111111111099</v>
      </c>
      <c r="I207" s="2">
        <v>0</v>
      </c>
      <c r="J207" s="2">
        <v>0</v>
      </c>
      <c r="K207" s="2">
        <v>0</v>
      </c>
      <c r="L207" t="str">
        <f>IF(B207=0,"","Q"&amp;INT(4*( RANK(B207, IF($B$2:$B$269&lt;&gt;0, $B$2:$B$269), 0) - 1 ) / COUNTIF($B$2:$B$269,"&gt;0")) + 1)</f>
        <v/>
      </c>
      <c r="M207" t="str">
        <f>IF(C207=0,"","Q"&amp;INT(4*( RANK(C207, IF($C$2:$C$269&lt;&gt;0, $C$2:$C$269), 0) - 1 ) / COUNTIF($C$2:$C$269,"&gt;0")) + 1)</f>
        <v/>
      </c>
      <c r="N207" t="str">
        <f>IF(D207=0,"","Q"&amp;INT(4*( RANK(D207, IF($D$2:$D$269&lt;&gt;0, $D$2:$D$269), 0) - 1 ) / COUNTIF($D$2:$D$269,"&gt;0")) + 1)</f>
        <v/>
      </c>
      <c r="O207" t="str">
        <f>IF(E207=0,"","Q"&amp;INT(4*( RANK(E207, IF($E$2:$E$269&lt;&gt;0, $E$2:$E$269), 0) - 1 ) / COUNTIF($E$2:$E$269,"&gt;0")) + 1)</f>
        <v/>
      </c>
      <c r="P207" t="str">
        <f>IF(F207=0,"","Q"&amp;INT(4*( RANK(F207, IF($F$2:$F$269&lt;&gt;0, $F$2:$F$269), 0) - 1 ) / COUNTIF($F$2:$F$269,"&gt;0")) + 1)</f>
        <v/>
      </c>
      <c r="Q207" t="str">
        <f>IF(G207=0,"","Q"&amp;INT(4*( RANK(G207, IF($G$2:$G$269&lt;&gt;0, $G$2:$G$269), 0) - 1 ) / COUNTIF($G$2:$G$269,"&gt;0")) + 1)</f>
        <v/>
      </c>
      <c r="R207" t="str">
        <f>IF(H207=0,"","Q"&amp;INT(4*( RANK(H207, IF($H$2:$H$269&lt;&gt;0, $H$2:$H$269), 0) - 1 ) / COUNTIF($H$2:$H$269,"&gt;0")) + 1)</f>
        <v>Q4</v>
      </c>
      <c r="S207" t="str">
        <f>IF(I207=0,"","Q"&amp;INT(4*( RANK(I207, IF($I$2:$I$269&lt;&gt;0, $I$2:$I$269), 0) - 1 ) / COUNTIF($I$2:$I$269,"&gt;0")) + 1)</f>
        <v/>
      </c>
      <c r="T207" t="str">
        <f>IF(J207=0,"","Q"&amp;INT(4*( RANK(J207, IF($J$2:$J$269&lt;&gt;0, $J$2:$J$269), 0) - 1 ) / COUNTIF($J$2:$J$269,"&gt;0")) + 1)</f>
        <v/>
      </c>
      <c r="U207" t="str">
        <f>IF(K207=0,"","Q"&amp;INT(4*( RANK(K207, IF($K$2:$K$269&lt;&gt;0, $K$2:$K$269), 0) - 1 ) / COUNTIF($K$2:$K$269,"&gt;0")) + 1)</f>
        <v/>
      </c>
    </row>
    <row r="208" spans="1:21" x14ac:dyDescent="0.2">
      <c r="A208" s="8" t="s">
        <v>293</v>
      </c>
      <c r="B208" s="2">
        <v>0</v>
      </c>
      <c r="C208" s="2">
        <v>0</v>
      </c>
      <c r="D208" s="2">
        <v>0</v>
      </c>
      <c r="E208" s="2">
        <v>0.03</v>
      </c>
      <c r="F208" s="2">
        <v>0</v>
      </c>
      <c r="G208" s="2">
        <v>0</v>
      </c>
      <c r="H208" s="2">
        <v>0</v>
      </c>
      <c r="I208" s="2">
        <v>0</v>
      </c>
      <c r="J208" s="2">
        <v>4.6511627906976702E-2</v>
      </c>
      <c r="K208" s="2">
        <v>0</v>
      </c>
      <c r="L208" t="str">
        <f>IF(B208=0,"","Q"&amp;INT(4*( RANK(B208, IF($B$2:$B$269&lt;&gt;0, $B$2:$B$269), 0) - 1 ) / COUNTIF($B$2:$B$269,"&gt;0")) + 1)</f>
        <v/>
      </c>
      <c r="M208" t="str">
        <f>IF(C208=0,"","Q"&amp;INT(4*( RANK(C208, IF($C$2:$C$269&lt;&gt;0, $C$2:$C$269), 0) - 1 ) / COUNTIF($C$2:$C$269,"&gt;0")) + 1)</f>
        <v/>
      </c>
      <c r="N208" t="str">
        <f>IF(D208=0,"","Q"&amp;INT(4*( RANK(D208, IF($D$2:$D$269&lt;&gt;0, $D$2:$D$269), 0) - 1 ) / COUNTIF($D$2:$D$269,"&gt;0")) + 1)</f>
        <v/>
      </c>
      <c r="O208" t="str">
        <f>IF(E208=0,"","Q"&amp;INT(4*( RANK(E208, IF($E$2:$E$269&lt;&gt;0, $E$2:$E$269), 0) - 1 ) / COUNTIF($E$2:$E$269,"&gt;0")) + 1)</f>
        <v>Q1</v>
      </c>
      <c r="P208" t="str">
        <f>IF(F208=0,"","Q"&amp;INT(4*( RANK(F208, IF($F$2:$F$269&lt;&gt;0, $F$2:$F$269), 0) - 1 ) / COUNTIF($F$2:$F$269,"&gt;0")) + 1)</f>
        <v/>
      </c>
      <c r="Q208" t="str">
        <f>IF(G208=0,"","Q"&amp;INT(4*( RANK(G208, IF($G$2:$G$269&lt;&gt;0, $G$2:$G$269), 0) - 1 ) / COUNTIF($G$2:$G$269,"&gt;0")) + 1)</f>
        <v/>
      </c>
      <c r="R208" t="str">
        <f>IF(H208=0,"","Q"&amp;INT(4*( RANK(H208, IF($H$2:$H$269&lt;&gt;0, $H$2:$H$269), 0) - 1 ) / COUNTIF($H$2:$H$269,"&gt;0")) + 1)</f>
        <v/>
      </c>
      <c r="S208" t="str">
        <f>IF(I208=0,"","Q"&amp;INT(4*( RANK(I208, IF($I$2:$I$269&lt;&gt;0, $I$2:$I$269), 0) - 1 ) / COUNTIF($I$2:$I$269,"&gt;0")) + 1)</f>
        <v/>
      </c>
      <c r="T208" t="str">
        <f>IF(J208=0,"","Q"&amp;INT(4*( RANK(J208, IF($J$2:$J$269&lt;&gt;0, $J$2:$J$269), 0) - 1 ) / COUNTIF($J$2:$J$269,"&gt;0")) + 1)</f>
        <v>Q4</v>
      </c>
      <c r="U208" t="str">
        <f>IF(K208=0,"","Q"&amp;INT(4*( RANK(K208, IF($K$2:$K$269&lt;&gt;0, $K$2:$K$269), 0) - 1 ) / COUNTIF($K$2:$K$269,"&gt;0")) + 1)</f>
        <v/>
      </c>
    </row>
    <row r="209" spans="1:21" x14ac:dyDescent="0.2">
      <c r="A209" s="8" t="s">
        <v>292</v>
      </c>
      <c r="B209" s="2">
        <v>0</v>
      </c>
      <c r="C209" s="2">
        <v>0</v>
      </c>
      <c r="D209" s="2">
        <v>0</v>
      </c>
      <c r="E209" s="2">
        <v>3.3613445378151197E-2</v>
      </c>
      <c r="F209" s="2">
        <v>7.69230769230769E-2</v>
      </c>
      <c r="G209" s="2">
        <v>0</v>
      </c>
      <c r="H209" s="2">
        <v>0</v>
      </c>
      <c r="I209" s="2">
        <v>0</v>
      </c>
      <c r="J209" s="2">
        <v>0.16279069767441801</v>
      </c>
      <c r="K209" s="2">
        <v>0</v>
      </c>
      <c r="L209" t="str">
        <f>IF(B209=0,"","Q"&amp;INT(4*( RANK(B209, IF($B$2:$B$269&lt;&gt;0, $B$2:$B$269), 0) - 1 ) / COUNTIF($B$2:$B$269,"&gt;0")) + 1)</f>
        <v/>
      </c>
      <c r="M209" t="str">
        <f>IF(C209=0,"","Q"&amp;INT(4*( RANK(C209, IF($C$2:$C$269&lt;&gt;0, $C$2:$C$269), 0) - 1 ) / COUNTIF($C$2:$C$269,"&gt;0")) + 1)</f>
        <v/>
      </c>
      <c r="N209" t="str">
        <f>IF(D209=0,"","Q"&amp;INT(4*( RANK(D209, IF($D$2:$D$269&lt;&gt;0, $D$2:$D$269), 0) - 1 ) / COUNTIF($D$2:$D$269,"&gt;0")) + 1)</f>
        <v/>
      </c>
      <c r="O209" t="str">
        <f>IF(E209=0,"","Q"&amp;INT(4*( RANK(E209, IF($E$2:$E$269&lt;&gt;0, $E$2:$E$269), 0) - 1 ) / COUNTIF($E$2:$E$269,"&gt;0")) + 1)</f>
        <v>Q1</v>
      </c>
      <c r="P209" t="str">
        <f>IF(F209=0,"","Q"&amp;INT(4*( RANK(F209, IF($F$2:$F$269&lt;&gt;0, $F$2:$F$269), 0) - 1 ) / COUNTIF($F$2:$F$269,"&gt;0")) + 1)</f>
        <v>Q3</v>
      </c>
      <c r="Q209" t="str">
        <f>IF(G209=0,"","Q"&amp;INT(4*( RANK(G209, IF($G$2:$G$269&lt;&gt;0, $G$2:$G$269), 0) - 1 ) / COUNTIF($G$2:$G$269,"&gt;0")) + 1)</f>
        <v/>
      </c>
      <c r="R209" t="str">
        <f>IF(H209=0,"","Q"&amp;INT(4*( RANK(H209, IF($H$2:$H$269&lt;&gt;0, $H$2:$H$269), 0) - 1 ) / COUNTIF($H$2:$H$269,"&gt;0")) + 1)</f>
        <v/>
      </c>
      <c r="S209" t="str">
        <f>IF(I209=0,"","Q"&amp;INT(4*( RANK(I209, IF($I$2:$I$269&lt;&gt;0, $I$2:$I$269), 0) - 1 ) / COUNTIF($I$2:$I$269,"&gt;0")) + 1)</f>
        <v/>
      </c>
      <c r="T209" t="str">
        <f>IF(J209=0,"","Q"&amp;INT(4*( RANK(J209, IF($J$2:$J$269&lt;&gt;0, $J$2:$J$269), 0) - 1 ) / COUNTIF($J$2:$J$269,"&gt;0")) + 1)</f>
        <v>Q2</v>
      </c>
      <c r="U209" t="str">
        <f>IF(K209=0,"","Q"&amp;INT(4*( RANK(K209, IF($K$2:$K$269&lt;&gt;0, $K$2:$K$269), 0) - 1 ) / COUNTIF($K$2:$K$269,"&gt;0")) + 1)</f>
        <v/>
      </c>
    </row>
    <row r="210" spans="1:21" x14ac:dyDescent="0.2">
      <c r="A210" t="s">
        <v>1075</v>
      </c>
      <c r="B210" s="2">
        <v>0</v>
      </c>
      <c r="C210" s="2">
        <v>0</v>
      </c>
      <c r="D210" s="2">
        <v>0</v>
      </c>
      <c r="E210" s="2">
        <v>4.2016806722688996E-3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t="str">
        <f>IF(B210=0,"","Q"&amp;INT(4*( RANK(B210, IF($B$2:$B$269&lt;&gt;0, $B$2:$B$269), 0) - 1 ) / COUNTIF($B$2:$B$269,"&gt;0")) + 1)</f>
        <v/>
      </c>
      <c r="M210" t="str">
        <f>IF(C210=0,"","Q"&amp;INT(4*( RANK(C210, IF($C$2:$C$269&lt;&gt;0, $C$2:$C$269), 0) - 1 ) / COUNTIF($C$2:$C$269,"&gt;0")) + 1)</f>
        <v/>
      </c>
      <c r="N210" t="str">
        <f>IF(D210=0,"","Q"&amp;INT(4*( RANK(D210, IF($D$2:$D$269&lt;&gt;0, $D$2:$D$269), 0) - 1 ) / COUNTIF($D$2:$D$269,"&gt;0")) + 1)</f>
        <v/>
      </c>
      <c r="O210" t="str">
        <f>IF(E210=0,"","Q"&amp;INT(4*( RANK(E210, IF($E$2:$E$269&lt;&gt;0, $E$2:$E$269), 0) - 1 ) / COUNTIF($E$2:$E$269,"&gt;0")) + 1)</f>
        <v>Q4</v>
      </c>
      <c r="P210" t="str">
        <f>IF(F210=0,"","Q"&amp;INT(4*( RANK(F210, IF($F$2:$F$269&lt;&gt;0, $F$2:$F$269), 0) - 1 ) / COUNTIF($F$2:$F$269,"&gt;0")) + 1)</f>
        <v/>
      </c>
      <c r="Q210" t="str">
        <f>IF(G210=0,"","Q"&amp;INT(4*( RANK(G210, IF($G$2:$G$269&lt;&gt;0, $G$2:$G$269), 0) - 1 ) / COUNTIF($G$2:$G$269,"&gt;0")) + 1)</f>
        <v/>
      </c>
      <c r="R210" t="str">
        <f>IF(H210=0,"","Q"&amp;INT(4*( RANK(H210, IF($H$2:$H$269&lt;&gt;0, $H$2:$H$269), 0) - 1 ) / COUNTIF($H$2:$H$269,"&gt;0")) + 1)</f>
        <v/>
      </c>
      <c r="S210" t="str">
        <f>IF(I210=0,"","Q"&amp;INT(4*( RANK(I210, IF($I$2:$I$269&lt;&gt;0, $I$2:$I$269), 0) - 1 ) / COUNTIF($I$2:$I$269,"&gt;0")) + 1)</f>
        <v/>
      </c>
      <c r="T210" t="str">
        <f>IF(J210=0,"","Q"&amp;INT(4*( RANK(J210, IF($J$2:$J$269&lt;&gt;0, $J$2:$J$269), 0) - 1 ) / COUNTIF($J$2:$J$269,"&gt;0")) + 1)</f>
        <v/>
      </c>
      <c r="U210" t="str">
        <f>IF(K210=0,"","Q"&amp;INT(4*( RANK(K210, IF($K$2:$K$269&lt;&gt;0, $K$2:$K$269), 0) - 1 ) / COUNTIF($K$2:$K$269,"&gt;0")) + 1)</f>
        <v/>
      </c>
    </row>
    <row r="211" spans="1:21" x14ac:dyDescent="0.2">
      <c r="A211" t="s">
        <v>288</v>
      </c>
      <c r="B211" s="2">
        <v>0</v>
      </c>
      <c r="C211" s="2">
        <v>0</v>
      </c>
      <c r="D211" s="2">
        <v>0</v>
      </c>
      <c r="E211" s="2">
        <v>4.2016806722688996E-3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t="str">
        <f>IF(B211=0,"","Q"&amp;INT(4*( RANK(B211, IF($B$2:$B$269&lt;&gt;0, $B$2:$B$269), 0) - 1 ) / COUNTIF($B$2:$B$269,"&gt;0")) + 1)</f>
        <v/>
      </c>
      <c r="M211" t="str">
        <f>IF(C211=0,"","Q"&amp;INT(4*( RANK(C211, IF($C$2:$C$269&lt;&gt;0, $C$2:$C$269), 0) - 1 ) / COUNTIF($C$2:$C$269,"&gt;0")) + 1)</f>
        <v/>
      </c>
      <c r="N211" t="str">
        <f>IF(D211=0,"","Q"&amp;INT(4*( RANK(D211, IF($D$2:$D$269&lt;&gt;0, $D$2:$D$269), 0) - 1 ) / COUNTIF($D$2:$D$269,"&gt;0")) + 1)</f>
        <v/>
      </c>
      <c r="O211" t="str">
        <f>IF(E211=0,"","Q"&amp;INT(4*( RANK(E211, IF($E$2:$E$269&lt;&gt;0, $E$2:$E$269), 0) - 1 ) / COUNTIF($E$2:$E$269,"&gt;0")) + 1)</f>
        <v>Q4</v>
      </c>
      <c r="P211" t="str">
        <f>IF(F211=0,"","Q"&amp;INT(4*( RANK(F211, IF($F$2:$F$269&lt;&gt;0, $F$2:$F$269), 0) - 1 ) / COUNTIF($F$2:$F$269,"&gt;0")) + 1)</f>
        <v/>
      </c>
      <c r="Q211" t="str">
        <f>IF(G211=0,"","Q"&amp;INT(4*( RANK(G211, IF($G$2:$G$269&lt;&gt;0, $G$2:$G$269), 0) - 1 ) / COUNTIF($G$2:$G$269,"&gt;0")) + 1)</f>
        <v/>
      </c>
      <c r="R211" t="str">
        <f>IF(H211=0,"","Q"&amp;INT(4*( RANK(H211, IF($H$2:$H$269&lt;&gt;0, $H$2:$H$269), 0) - 1 ) / COUNTIF($H$2:$H$269,"&gt;0")) + 1)</f>
        <v/>
      </c>
      <c r="S211" t="str">
        <f>IF(I211=0,"","Q"&amp;INT(4*( RANK(I211, IF($I$2:$I$269&lt;&gt;0, $I$2:$I$269), 0) - 1 ) / COUNTIF($I$2:$I$269,"&gt;0")) + 1)</f>
        <v/>
      </c>
      <c r="T211" t="str">
        <f>IF(J211=0,"","Q"&amp;INT(4*( RANK(J211, IF($J$2:$J$269&lt;&gt;0, $J$2:$J$269), 0) - 1 ) / COUNTIF($J$2:$J$269,"&gt;0")) + 1)</f>
        <v/>
      </c>
      <c r="U211" t="str">
        <f>IF(K211=0,"","Q"&amp;INT(4*( RANK(K211, IF($K$2:$K$269&lt;&gt;0, $K$2:$K$269), 0) - 1 ) / COUNTIF($K$2:$K$269,"&gt;0")) + 1)</f>
        <v/>
      </c>
    </row>
    <row r="212" spans="1:21" x14ac:dyDescent="0.2">
      <c r="A212" t="s">
        <v>289</v>
      </c>
      <c r="B212" s="2">
        <v>0</v>
      </c>
      <c r="C212" s="2">
        <v>0</v>
      </c>
      <c r="D212" s="2">
        <v>0</v>
      </c>
      <c r="E212" s="2">
        <v>0</v>
      </c>
      <c r="F212" s="2">
        <v>3.8461538461538401E-2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t="str">
        <f>IF(B212=0,"","Q"&amp;INT(4*( RANK(B212, IF($B$2:$B$269&lt;&gt;0, $B$2:$B$269), 0) - 1 ) / COUNTIF($B$2:$B$269,"&gt;0")) + 1)</f>
        <v/>
      </c>
      <c r="M212" t="str">
        <f>IF(C212=0,"","Q"&amp;INT(4*( RANK(C212, IF($C$2:$C$269&lt;&gt;0, $C$2:$C$269), 0) - 1 ) / COUNTIF($C$2:$C$269,"&gt;0")) + 1)</f>
        <v/>
      </c>
      <c r="N212" t="str">
        <f>IF(D212=0,"","Q"&amp;INT(4*( RANK(D212, IF($D$2:$D$269&lt;&gt;0, $D$2:$D$269), 0) - 1 ) / COUNTIF($D$2:$D$269,"&gt;0")) + 1)</f>
        <v/>
      </c>
      <c r="O212" t="str">
        <f>IF(E212=0,"","Q"&amp;INT(4*( RANK(E212, IF($E$2:$E$269&lt;&gt;0, $E$2:$E$269), 0) - 1 ) / COUNTIF($E$2:$E$269,"&gt;0")) + 1)</f>
        <v/>
      </c>
      <c r="P212" t="str">
        <f>IF(F212=0,"","Q"&amp;INT(4*( RANK(F212, IF($F$2:$F$269&lt;&gt;0, $F$2:$F$269), 0) - 1 ) / COUNTIF($F$2:$F$269,"&gt;0")) + 1)</f>
        <v>Q4</v>
      </c>
      <c r="Q212" t="str">
        <f>IF(G212=0,"","Q"&amp;INT(4*( RANK(G212, IF($G$2:$G$269&lt;&gt;0, $G$2:$G$269), 0) - 1 ) / COUNTIF($G$2:$G$269,"&gt;0")) + 1)</f>
        <v/>
      </c>
      <c r="R212" t="str">
        <f>IF(H212=0,"","Q"&amp;INT(4*( RANK(H212, IF($H$2:$H$269&lt;&gt;0, $H$2:$H$269), 0) - 1 ) / COUNTIF($H$2:$H$269,"&gt;0")) + 1)</f>
        <v/>
      </c>
      <c r="S212" t="str">
        <f>IF(I212=0,"","Q"&amp;INT(4*( RANK(I212, IF($I$2:$I$269&lt;&gt;0, $I$2:$I$269), 0) - 1 ) / COUNTIF($I$2:$I$269,"&gt;0")) + 1)</f>
        <v/>
      </c>
      <c r="T212" t="str">
        <f>IF(J212=0,"","Q"&amp;INT(4*( RANK(J212, IF($J$2:$J$269&lt;&gt;0, $J$2:$J$269), 0) - 1 ) / COUNTIF($J$2:$J$269,"&gt;0")) + 1)</f>
        <v/>
      </c>
      <c r="U212" t="str">
        <f>IF(K212=0,"","Q"&amp;INT(4*( RANK(K212, IF($K$2:$K$269&lt;&gt;0, $K$2:$K$269), 0) - 1 ) / COUNTIF($K$2:$K$269,"&gt;0")) + 1)</f>
        <v/>
      </c>
    </row>
    <row r="213" spans="1:21" x14ac:dyDescent="0.2">
      <c r="A213" t="s">
        <v>290</v>
      </c>
      <c r="B213" s="2">
        <v>0</v>
      </c>
      <c r="C213" s="2">
        <v>0</v>
      </c>
      <c r="D213" s="2">
        <v>0</v>
      </c>
      <c r="E213" s="2">
        <v>4.2016806722688996E-3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t="str">
        <f>IF(B213=0,"","Q"&amp;INT(4*( RANK(B213, IF($B$2:$B$269&lt;&gt;0, $B$2:$B$269), 0) - 1 ) / COUNTIF($B$2:$B$269,"&gt;0")) + 1)</f>
        <v/>
      </c>
      <c r="M213" t="str">
        <f>IF(C213=0,"","Q"&amp;INT(4*( RANK(C213, IF($C$2:$C$269&lt;&gt;0, $C$2:$C$269), 0) - 1 ) / COUNTIF($C$2:$C$269,"&gt;0")) + 1)</f>
        <v/>
      </c>
      <c r="N213" t="str">
        <f>IF(D213=0,"","Q"&amp;INT(4*( RANK(D213, IF($D$2:$D$269&lt;&gt;0, $D$2:$D$269), 0) - 1 ) / COUNTIF($D$2:$D$269,"&gt;0")) + 1)</f>
        <v/>
      </c>
      <c r="O213" t="str">
        <f>IF(E213=0,"","Q"&amp;INT(4*( RANK(E213, IF($E$2:$E$269&lt;&gt;0, $E$2:$E$269), 0) - 1 ) / COUNTIF($E$2:$E$269,"&gt;0")) + 1)</f>
        <v>Q4</v>
      </c>
      <c r="P213" t="str">
        <f>IF(F213=0,"","Q"&amp;INT(4*( RANK(F213, IF($F$2:$F$269&lt;&gt;0, $F$2:$F$269), 0) - 1 ) / COUNTIF($F$2:$F$269,"&gt;0")) + 1)</f>
        <v/>
      </c>
      <c r="Q213" t="str">
        <f>IF(G213=0,"","Q"&amp;INT(4*( RANK(G213, IF($G$2:$G$269&lt;&gt;0, $G$2:$G$269), 0) - 1 ) / COUNTIF($G$2:$G$269,"&gt;0")) + 1)</f>
        <v/>
      </c>
      <c r="R213" t="str">
        <f>IF(H213=0,"","Q"&amp;INT(4*( RANK(H213, IF($H$2:$H$269&lt;&gt;0, $H$2:$H$269), 0) - 1 ) / COUNTIF($H$2:$H$269,"&gt;0")) + 1)</f>
        <v/>
      </c>
      <c r="S213" t="str">
        <f>IF(I213=0,"","Q"&amp;INT(4*( RANK(I213, IF($I$2:$I$269&lt;&gt;0, $I$2:$I$269), 0) - 1 ) / COUNTIF($I$2:$I$269,"&gt;0")) + 1)</f>
        <v/>
      </c>
      <c r="T213" t="str">
        <f>IF(J213=0,"","Q"&amp;INT(4*( RANK(J213, IF($J$2:$J$269&lt;&gt;0, $J$2:$J$269), 0) - 1 ) / COUNTIF($J$2:$J$269,"&gt;0")) + 1)</f>
        <v/>
      </c>
      <c r="U213" t="str">
        <f>IF(K213=0,"","Q"&amp;INT(4*( RANK(K213, IF($K$2:$K$269&lt;&gt;0, $K$2:$K$269), 0) - 1 ) / COUNTIF($K$2:$K$269,"&gt;0")) + 1)</f>
        <v/>
      </c>
    </row>
    <row r="214" spans="1:21" x14ac:dyDescent="0.2">
      <c r="A214" t="s">
        <v>291</v>
      </c>
      <c r="B214" s="2">
        <v>0</v>
      </c>
      <c r="C214" s="2">
        <v>0</v>
      </c>
      <c r="D214" s="2">
        <v>0</v>
      </c>
      <c r="E214" s="2">
        <v>1.6806722689075598E-2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t="str">
        <f>IF(B214=0,"","Q"&amp;INT(4*( RANK(B214, IF($B$2:$B$269&lt;&gt;0, $B$2:$B$269), 0) - 1 ) / COUNTIF($B$2:$B$269,"&gt;0")) + 1)</f>
        <v/>
      </c>
      <c r="M214" t="str">
        <f>IF(C214=0,"","Q"&amp;INT(4*( RANK(C214, IF($C$2:$C$269&lt;&gt;0, $C$2:$C$269), 0) - 1 ) / COUNTIF($C$2:$C$269,"&gt;0")) + 1)</f>
        <v/>
      </c>
      <c r="N214" t="str">
        <f>IF(D214=0,"","Q"&amp;INT(4*( RANK(D214, IF($D$2:$D$269&lt;&gt;0, $D$2:$D$269), 0) - 1 ) / COUNTIF($D$2:$D$269,"&gt;0")) + 1)</f>
        <v/>
      </c>
      <c r="O214" t="str">
        <f>IF(E214=0,"","Q"&amp;INT(4*( RANK(E214, IF($E$2:$E$269&lt;&gt;0, $E$2:$E$269), 0) - 1 ) / COUNTIF($E$2:$E$269,"&gt;0")) + 1)</f>
        <v>Q2</v>
      </c>
      <c r="P214" t="str">
        <f>IF(F214=0,"","Q"&amp;INT(4*( RANK(F214, IF($F$2:$F$269&lt;&gt;0, $F$2:$F$269), 0) - 1 ) / COUNTIF($F$2:$F$269,"&gt;0")) + 1)</f>
        <v/>
      </c>
      <c r="Q214" t="str">
        <f>IF(G214=0,"","Q"&amp;INT(4*( RANK(G214, IF($G$2:$G$269&lt;&gt;0, $G$2:$G$269), 0) - 1 ) / COUNTIF($G$2:$G$269,"&gt;0")) + 1)</f>
        <v/>
      </c>
      <c r="R214" t="str">
        <f>IF(H214=0,"","Q"&amp;INT(4*( RANK(H214, IF($H$2:$H$269&lt;&gt;0, $H$2:$H$269), 0) - 1 ) / COUNTIF($H$2:$H$269,"&gt;0")) + 1)</f>
        <v/>
      </c>
      <c r="S214" t="str">
        <f>IF(I214=0,"","Q"&amp;INT(4*( RANK(I214, IF($I$2:$I$269&lt;&gt;0, $I$2:$I$269), 0) - 1 ) / COUNTIF($I$2:$I$269,"&gt;0")) + 1)</f>
        <v/>
      </c>
      <c r="T214" t="str">
        <f>IF(J214=0,"","Q"&amp;INT(4*( RANK(J214, IF($J$2:$J$269&lt;&gt;0, $J$2:$J$269), 0) - 1 ) / COUNTIF($J$2:$J$269,"&gt;0")) + 1)</f>
        <v/>
      </c>
      <c r="U214" t="str">
        <f>IF(K214=0,"","Q"&amp;INT(4*( RANK(K214, IF($K$2:$K$269&lt;&gt;0, $K$2:$K$269), 0) - 1 ) / COUNTIF($K$2:$K$269,"&gt;0")) + 1)</f>
        <v/>
      </c>
    </row>
    <row r="215" spans="1:21" x14ac:dyDescent="0.2">
      <c r="A215" t="s">
        <v>1076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0.16279069767441801</v>
      </c>
      <c r="K215" s="2">
        <v>0</v>
      </c>
      <c r="L215" t="str">
        <f>IF(B215=0,"","Q"&amp;INT(4*( RANK(B215, IF($B$2:$B$269&lt;&gt;0, $B$2:$B$269), 0) - 1 ) / COUNTIF($B$2:$B$269,"&gt;0")) + 1)</f>
        <v/>
      </c>
      <c r="M215" t="str">
        <f>IF(C215=0,"","Q"&amp;INT(4*( RANK(C215, IF($C$2:$C$269&lt;&gt;0, $C$2:$C$269), 0) - 1 ) / COUNTIF($C$2:$C$269,"&gt;0")) + 1)</f>
        <v/>
      </c>
      <c r="N215" t="str">
        <f>IF(D215=0,"","Q"&amp;INT(4*( RANK(D215, IF($D$2:$D$269&lt;&gt;0, $D$2:$D$269), 0) - 1 ) / COUNTIF($D$2:$D$269,"&gt;0")) + 1)</f>
        <v/>
      </c>
      <c r="O215" t="str">
        <f>IF(E215=0,"","Q"&amp;INT(4*( RANK(E215, IF($E$2:$E$269&lt;&gt;0, $E$2:$E$269), 0) - 1 ) / COUNTIF($E$2:$E$269,"&gt;0")) + 1)</f>
        <v/>
      </c>
      <c r="P215" t="str">
        <f>IF(F215=0,"","Q"&amp;INT(4*( RANK(F215, IF($F$2:$F$269&lt;&gt;0, $F$2:$F$269), 0) - 1 ) / COUNTIF($F$2:$F$269,"&gt;0")) + 1)</f>
        <v/>
      </c>
      <c r="Q215" t="str">
        <f>IF(G215=0,"","Q"&amp;INT(4*( RANK(G215, IF($G$2:$G$269&lt;&gt;0, $G$2:$G$269), 0) - 1 ) / COUNTIF($G$2:$G$269,"&gt;0")) + 1)</f>
        <v/>
      </c>
      <c r="R215" t="str">
        <f>IF(H215=0,"","Q"&amp;INT(4*( RANK(H215, IF($H$2:$H$269&lt;&gt;0, $H$2:$H$269), 0) - 1 ) / COUNTIF($H$2:$H$269,"&gt;0")) + 1)</f>
        <v/>
      </c>
      <c r="S215" t="str">
        <f>IF(I215=0,"","Q"&amp;INT(4*( RANK(I215, IF($I$2:$I$269&lt;&gt;0, $I$2:$I$269), 0) - 1 ) / COUNTIF($I$2:$I$269,"&gt;0")) + 1)</f>
        <v/>
      </c>
      <c r="T215" t="str">
        <f>IF(J215=0,"","Q"&amp;INT(4*( RANK(J215, IF($J$2:$J$269&lt;&gt;0, $J$2:$J$269), 0) - 1 ) / COUNTIF($J$2:$J$269,"&gt;0")) + 1)</f>
        <v>Q2</v>
      </c>
      <c r="U215" t="str">
        <f>IF(K215=0,"","Q"&amp;INT(4*( RANK(K215, IF($K$2:$K$269&lt;&gt;0, $K$2:$K$269), 0) - 1 ) / COUNTIF($K$2:$K$269,"&gt;0")) + 1)</f>
        <v/>
      </c>
    </row>
    <row r="216" spans="1:21" x14ac:dyDescent="0.2">
      <c r="A216" t="s">
        <v>295</v>
      </c>
      <c r="B216" s="2">
        <v>0</v>
      </c>
      <c r="C216" s="2">
        <v>0</v>
      </c>
      <c r="D216" s="2">
        <v>0</v>
      </c>
      <c r="E216" s="2">
        <v>8.4033613445378096E-3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t="str">
        <f>IF(B216=0,"","Q"&amp;INT(4*( RANK(B216, IF($B$2:$B$269&lt;&gt;0, $B$2:$B$269), 0) - 1 ) / COUNTIF($B$2:$B$269,"&gt;0")) + 1)</f>
        <v/>
      </c>
      <c r="M216" t="str">
        <f>IF(C216=0,"","Q"&amp;INT(4*( RANK(C216, IF($C$2:$C$269&lt;&gt;0, $C$2:$C$269), 0) - 1 ) / COUNTIF($C$2:$C$269,"&gt;0")) + 1)</f>
        <v/>
      </c>
      <c r="N216" t="str">
        <f>IF(D216=0,"","Q"&amp;INT(4*( RANK(D216, IF($D$2:$D$269&lt;&gt;0, $D$2:$D$269), 0) - 1 ) / COUNTIF($D$2:$D$269,"&gt;0")) + 1)</f>
        <v/>
      </c>
      <c r="O216" t="str">
        <f>IF(E216=0,"","Q"&amp;INT(4*( RANK(E216, IF($E$2:$E$269&lt;&gt;0, $E$2:$E$269), 0) - 1 ) / COUNTIF($E$2:$E$269,"&gt;0")) + 1)</f>
        <v>Q3</v>
      </c>
      <c r="P216" t="str">
        <f>IF(F216=0,"","Q"&amp;INT(4*( RANK(F216, IF($F$2:$F$269&lt;&gt;0, $F$2:$F$269), 0) - 1 ) / COUNTIF($F$2:$F$269,"&gt;0")) + 1)</f>
        <v/>
      </c>
      <c r="Q216" t="str">
        <f>IF(G216=0,"","Q"&amp;INT(4*( RANK(G216, IF($G$2:$G$269&lt;&gt;0, $G$2:$G$269), 0) - 1 ) / COUNTIF($G$2:$G$269,"&gt;0")) + 1)</f>
        <v/>
      </c>
      <c r="R216" t="str">
        <f>IF(H216=0,"","Q"&amp;INT(4*( RANK(H216, IF($H$2:$H$269&lt;&gt;0, $H$2:$H$269), 0) - 1 ) / COUNTIF($H$2:$H$269,"&gt;0")) + 1)</f>
        <v/>
      </c>
      <c r="S216" t="str">
        <f>IF(I216=0,"","Q"&amp;INT(4*( RANK(I216, IF($I$2:$I$269&lt;&gt;0, $I$2:$I$269), 0) - 1 ) / COUNTIF($I$2:$I$269,"&gt;0")) + 1)</f>
        <v/>
      </c>
      <c r="T216" t="str">
        <f>IF(J216=0,"","Q"&amp;INT(4*( RANK(J216, IF($J$2:$J$269&lt;&gt;0, $J$2:$J$269), 0) - 1 ) / COUNTIF($J$2:$J$269,"&gt;0")) + 1)</f>
        <v/>
      </c>
      <c r="U216" t="str">
        <f>IF(K216=0,"","Q"&amp;INT(4*( RANK(K216, IF($K$2:$K$269&lt;&gt;0, $K$2:$K$269), 0) - 1 ) / COUNTIF($K$2:$K$269,"&gt;0")) + 1)</f>
        <v/>
      </c>
    </row>
    <row r="217" spans="1:21" x14ac:dyDescent="0.2">
      <c r="A217" t="s">
        <v>296</v>
      </c>
      <c r="B217" s="2">
        <v>0</v>
      </c>
      <c r="C217" s="2">
        <v>0</v>
      </c>
      <c r="D217" s="2">
        <v>0</v>
      </c>
      <c r="E217" s="2">
        <v>1.26050420168067E-2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t="str">
        <f>IF(B217=0,"","Q"&amp;INT(4*( RANK(B217, IF($B$2:$B$269&lt;&gt;0, $B$2:$B$269), 0) - 1 ) / COUNTIF($B$2:$B$269,"&gt;0")) + 1)</f>
        <v/>
      </c>
      <c r="M217" t="str">
        <f>IF(C217=0,"","Q"&amp;INT(4*( RANK(C217, IF($C$2:$C$269&lt;&gt;0, $C$2:$C$269), 0) - 1 ) / COUNTIF($C$2:$C$269,"&gt;0")) + 1)</f>
        <v/>
      </c>
      <c r="N217" t="str">
        <f>IF(D217=0,"","Q"&amp;INT(4*( RANK(D217, IF($D$2:$D$269&lt;&gt;0, $D$2:$D$269), 0) - 1 ) / COUNTIF($D$2:$D$269,"&gt;0")) + 1)</f>
        <v/>
      </c>
      <c r="O217" t="str">
        <f>IF(E217=0,"","Q"&amp;INT(4*( RANK(E217, IF($E$2:$E$269&lt;&gt;0, $E$2:$E$269), 0) - 1 ) / COUNTIF($E$2:$E$269,"&gt;0")) + 1)</f>
        <v>Q2</v>
      </c>
      <c r="P217" t="str">
        <f>IF(F217=0,"","Q"&amp;INT(4*( RANK(F217, IF($F$2:$F$269&lt;&gt;0, $F$2:$F$269), 0) - 1 ) / COUNTIF($F$2:$F$269,"&gt;0")) + 1)</f>
        <v/>
      </c>
      <c r="Q217" t="str">
        <f>IF(G217=0,"","Q"&amp;INT(4*( RANK(G217, IF($G$2:$G$269&lt;&gt;0, $G$2:$G$269), 0) - 1 ) / COUNTIF($G$2:$G$269,"&gt;0")) + 1)</f>
        <v/>
      </c>
      <c r="R217" t="str">
        <f>IF(H217=0,"","Q"&amp;INT(4*( RANK(H217, IF($H$2:$H$269&lt;&gt;0, $H$2:$H$269), 0) - 1 ) / COUNTIF($H$2:$H$269,"&gt;0")) + 1)</f>
        <v/>
      </c>
      <c r="S217" t="str">
        <f>IF(I217=0,"","Q"&amp;INT(4*( RANK(I217, IF($I$2:$I$269&lt;&gt;0, $I$2:$I$269), 0) - 1 ) / COUNTIF($I$2:$I$269,"&gt;0")) + 1)</f>
        <v/>
      </c>
      <c r="T217" t="str">
        <f>IF(J217=0,"","Q"&amp;INT(4*( RANK(J217, IF($J$2:$J$269&lt;&gt;0, $J$2:$J$269), 0) - 1 ) / COUNTIF($J$2:$J$269,"&gt;0")) + 1)</f>
        <v/>
      </c>
      <c r="U217" t="str">
        <f>IF(K217=0,"","Q"&amp;INT(4*( RANK(K217, IF($K$2:$K$269&lt;&gt;0, $K$2:$K$269), 0) - 1 ) / COUNTIF($K$2:$K$269,"&gt;0")) + 1)</f>
        <v/>
      </c>
    </row>
    <row r="218" spans="1:21" x14ac:dyDescent="0.2">
      <c r="A218" t="s">
        <v>1077</v>
      </c>
      <c r="B218" s="2">
        <v>0.6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t="str">
        <f>IF(B218=0,"","Q"&amp;INT(4*( RANK(B218, IF($B$2:$B$269&lt;&gt;0, $B$2:$B$269), 0) - 1 ) / COUNTIF($B$2:$B$269,"&gt;0")) + 1)</f>
        <v>Q2</v>
      </c>
      <c r="M218" t="str">
        <f>IF(C218=0,"","Q"&amp;INT(4*( RANK(C218, IF($C$2:$C$269&lt;&gt;0, $C$2:$C$269), 0) - 1 ) / COUNTIF($C$2:$C$269,"&gt;0")) + 1)</f>
        <v/>
      </c>
      <c r="N218" t="str">
        <f>IF(D218=0,"","Q"&amp;INT(4*( RANK(D218, IF($D$2:$D$269&lt;&gt;0, $D$2:$D$269), 0) - 1 ) / COUNTIF($D$2:$D$269,"&gt;0")) + 1)</f>
        <v/>
      </c>
      <c r="O218" t="str">
        <f>IF(E218=0,"","Q"&amp;INT(4*( RANK(E218, IF($E$2:$E$269&lt;&gt;0, $E$2:$E$269), 0) - 1 ) / COUNTIF($E$2:$E$269,"&gt;0")) + 1)</f>
        <v/>
      </c>
      <c r="P218" t="str">
        <f>IF(F218=0,"","Q"&amp;INT(4*( RANK(F218, IF($F$2:$F$269&lt;&gt;0, $F$2:$F$269), 0) - 1 ) / COUNTIF($F$2:$F$269,"&gt;0")) + 1)</f>
        <v/>
      </c>
      <c r="Q218" t="str">
        <f>IF(G218=0,"","Q"&amp;INT(4*( RANK(G218, IF($G$2:$G$269&lt;&gt;0, $G$2:$G$269), 0) - 1 ) / COUNTIF($G$2:$G$269,"&gt;0")) + 1)</f>
        <v/>
      </c>
      <c r="R218" t="str">
        <f>IF(H218=0,"","Q"&amp;INT(4*( RANK(H218, IF($H$2:$H$269&lt;&gt;0, $H$2:$H$269), 0) - 1 ) / COUNTIF($H$2:$H$269,"&gt;0")) + 1)</f>
        <v/>
      </c>
      <c r="S218" t="str">
        <f>IF(I218=0,"","Q"&amp;INT(4*( RANK(I218, IF($I$2:$I$269&lt;&gt;0, $I$2:$I$269), 0) - 1 ) / COUNTIF($I$2:$I$269,"&gt;0")) + 1)</f>
        <v/>
      </c>
      <c r="T218" t="str">
        <f>IF(J218=0,"","Q"&amp;INT(4*( RANK(J218, IF($J$2:$J$269&lt;&gt;0, $J$2:$J$269), 0) - 1 ) / COUNTIF($J$2:$J$269,"&gt;0")) + 1)</f>
        <v/>
      </c>
      <c r="U218" t="str">
        <f>IF(K218=0,"","Q"&amp;INT(4*( RANK(K218, IF($K$2:$K$269&lt;&gt;0, $K$2:$K$269), 0) - 1 ) / COUNTIF($K$2:$K$269,"&gt;0")) + 1)</f>
        <v/>
      </c>
    </row>
    <row r="219" spans="1:21" x14ac:dyDescent="0.2">
      <c r="A219" t="s">
        <v>1078</v>
      </c>
      <c r="B219" s="2">
        <v>0</v>
      </c>
      <c r="C219" s="2">
        <v>0</v>
      </c>
      <c r="D219" s="2">
        <v>0</v>
      </c>
      <c r="E219" s="2">
        <v>1.6806722689075598E-2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t="str">
        <f>IF(B219=0,"","Q"&amp;INT(4*( RANK(B219, IF($B$2:$B$269&lt;&gt;0, $B$2:$B$269), 0) - 1 ) / COUNTIF($B$2:$B$269,"&gt;0")) + 1)</f>
        <v/>
      </c>
      <c r="M219" t="str">
        <f>IF(C219=0,"","Q"&amp;INT(4*( RANK(C219, IF($C$2:$C$269&lt;&gt;0, $C$2:$C$269), 0) - 1 ) / COUNTIF($C$2:$C$269,"&gt;0")) + 1)</f>
        <v/>
      </c>
      <c r="N219" t="str">
        <f>IF(D219=0,"","Q"&amp;INT(4*( RANK(D219, IF($D$2:$D$269&lt;&gt;0, $D$2:$D$269), 0) - 1 ) / COUNTIF($D$2:$D$269,"&gt;0")) + 1)</f>
        <v/>
      </c>
      <c r="O219" t="str">
        <f>IF(E219=0,"","Q"&amp;INT(4*( RANK(E219, IF($E$2:$E$269&lt;&gt;0, $E$2:$E$269), 0) - 1 ) / COUNTIF($E$2:$E$269,"&gt;0")) + 1)</f>
        <v>Q2</v>
      </c>
      <c r="P219" t="str">
        <f>IF(F219=0,"","Q"&amp;INT(4*( RANK(F219, IF($F$2:$F$269&lt;&gt;0, $F$2:$F$269), 0) - 1 ) / COUNTIF($F$2:$F$269,"&gt;0")) + 1)</f>
        <v/>
      </c>
      <c r="Q219" t="str">
        <f>IF(G219=0,"","Q"&amp;INT(4*( RANK(G219, IF($G$2:$G$269&lt;&gt;0, $G$2:$G$269), 0) - 1 ) / COUNTIF($G$2:$G$269,"&gt;0")) + 1)</f>
        <v/>
      </c>
      <c r="R219" t="str">
        <f>IF(H219=0,"","Q"&amp;INT(4*( RANK(H219, IF($H$2:$H$269&lt;&gt;0, $H$2:$H$269), 0) - 1 ) / COUNTIF($H$2:$H$269,"&gt;0")) + 1)</f>
        <v/>
      </c>
      <c r="S219" t="str">
        <f>IF(I219=0,"","Q"&amp;INT(4*( RANK(I219, IF($I$2:$I$269&lt;&gt;0, $I$2:$I$269), 0) - 1 ) / COUNTIF($I$2:$I$269,"&gt;0")) + 1)</f>
        <v/>
      </c>
      <c r="T219" t="str">
        <f>IF(J219=0,"","Q"&amp;INT(4*( RANK(J219, IF($J$2:$J$269&lt;&gt;0, $J$2:$J$269), 0) - 1 ) / COUNTIF($J$2:$J$269,"&gt;0")) + 1)</f>
        <v/>
      </c>
      <c r="U219" t="str">
        <f>IF(K219=0,"","Q"&amp;INT(4*( RANK(K219, IF($K$2:$K$269&lt;&gt;0, $K$2:$K$269), 0) - 1 ) / COUNTIF($K$2:$K$269,"&gt;0")) + 1)</f>
        <v/>
      </c>
    </row>
    <row r="220" spans="1:21" x14ac:dyDescent="0.2">
      <c r="A220" t="s">
        <v>1079</v>
      </c>
      <c r="B220" s="2">
        <v>0</v>
      </c>
      <c r="C220" s="2">
        <v>0</v>
      </c>
      <c r="D220" s="2">
        <v>0</v>
      </c>
      <c r="E220" s="2">
        <v>1.26050420168067E-2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t="str">
        <f>IF(B220=0,"","Q"&amp;INT(4*( RANK(B220, IF($B$2:$B$269&lt;&gt;0, $B$2:$B$269), 0) - 1 ) / COUNTIF($B$2:$B$269,"&gt;0")) + 1)</f>
        <v/>
      </c>
      <c r="M220" t="str">
        <f>IF(C220=0,"","Q"&amp;INT(4*( RANK(C220, IF($C$2:$C$269&lt;&gt;0, $C$2:$C$269), 0) - 1 ) / COUNTIF($C$2:$C$269,"&gt;0")) + 1)</f>
        <v/>
      </c>
      <c r="N220" t="str">
        <f>IF(D220=0,"","Q"&amp;INT(4*( RANK(D220, IF($D$2:$D$269&lt;&gt;0, $D$2:$D$269), 0) - 1 ) / COUNTIF($D$2:$D$269,"&gt;0")) + 1)</f>
        <v/>
      </c>
      <c r="O220" t="str">
        <f>IF(E220=0,"","Q"&amp;INT(4*( RANK(E220, IF($E$2:$E$269&lt;&gt;0, $E$2:$E$269), 0) - 1 ) / COUNTIF($E$2:$E$269,"&gt;0")) + 1)</f>
        <v>Q2</v>
      </c>
      <c r="P220" t="str">
        <f>IF(F220=0,"","Q"&amp;INT(4*( RANK(F220, IF($F$2:$F$269&lt;&gt;0, $F$2:$F$269), 0) - 1 ) / COUNTIF($F$2:$F$269,"&gt;0")) + 1)</f>
        <v/>
      </c>
      <c r="Q220" t="str">
        <f>IF(G220=0,"","Q"&amp;INT(4*( RANK(G220, IF($G$2:$G$269&lt;&gt;0, $G$2:$G$269), 0) - 1 ) / COUNTIF($G$2:$G$269,"&gt;0")) + 1)</f>
        <v/>
      </c>
      <c r="R220" t="str">
        <f>IF(H220=0,"","Q"&amp;INT(4*( RANK(H220, IF($H$2:$H$269&lt;&gt;0, $H$2:$H$269), 0) - 1 ) / COUNTIF($H$2:$H$269,"&gt;0")) + 1)</f>
        <v/>
      </c>
      <c r="S220" t="str">
        <f>IF(I220=0,"","Q"&amp;INT(4*( RANK(I220, IF($I$2:$I$269&lt;&gt;0, $I$2:$I$269), 0) - 1 ) / COUNTIF($I$2:$I$269,"&gt;0")) + 1)</f>
        <v/>
      </c>
      <c r="T220" t="str">
        <f>IF(J220=0,"","Q"&amp;INT(4*( RANK(J220, IF($J$2:$J$269&lt;&gt;0, $J$2:$J$269), 0) - 1 ) / COUNTIF($J$2:$J$269,"&gt;0")) + 1)</f>
        <v/>
      </c>
      <c r="U220" t="str">
        <f>IF(K220=0,"","Q"&amp;INT(4*( RANK(K220, IF($K$2:$K$269&lt;&gt;0, $K$2:$K$269), 0) - 1 ) / COUNTIF($K$2:$K$269,"&gt;0")) + 1)</f>
        <v/>
      </c>
    </row>
    <row r="221" spans="1:21" x14ac:dyDescent="0.2">
      <c r="A221" t="s">
        <v>1011</v>
      </c>
      <c r="B221" s="2">
        <v>0</v>
      </c>
      <c r="C221" s="2">
        <v>0</v>
      </c>
      <c r="D221" s="2">
        <v>0</v>
      </c>
      <c r="E221" s="2">
        <v>4.2016806722688996E-3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t="str">
        <f>IF(B221=0,"","Q"&amp;INT(4*( RANK(B221, IF($B$2:$B$269&lt;&gt;0, $B$2:$B$269), 0) - 1 ) / COUNTIF($B$2:$B$269,"&gt;0")) + 1)</f>
        <v/>
      </c>
      <c r="M221" t="str">
        <f>IF(C221=0,"","Q"&amp;INT(4*( RANK(C221, IF($C$2:$C$269&lt;&gt;0, $C$2:$C$269), 0) - 1 ) / COUNTIF($C$2:$C$269,"&gt;0")) + 1)</f>
        <v/>
      </c>
      <c r="N221" t="str">
        <f>IF(D221=0,"","Q"&amp;INT(4*( RANK(D221, IF($D$2:$D$269&lt;&gt;0, $D$2:$D$269), 0) - 1 ) / COUNTIF($D$2:$D$269,"&gt;0")) + 1)</f>
        <v/>
      </c>
      <c r="O221" t="str">
        <f>IF(E221=0,"","Q"&amp;INT(4*( RANK(E221, IF($E$2:$E$269&lt;&gt;0, $E$2:$E$269), 0) - 1 ) / COUNTIF($E$2:$E$269,"&gt;0")) + 1)</f>
        <v>Q4</v>
      </c>
      <c r="P221" t="str">
        <f>IF(F221=0,"","Q"&amp;INT(4*( RANK(F221, IF($F$2:$F$269&lt;&gt;0, $F$2:$F$269), 0) - 1 ) / COUNTIF($F$2:$F$269,"&gt;0")) + 1)</f>
        <v/>
      </c>
      <c r="Q221" t="str">
        <f>IF(G221=0,"","Q"&amp;INT(4*( RANK(G221, IF($G$2:$G$269&lt;&gt;0, $G$2:$G$269), 0) - 1 ) / COUNTIF($G$2:$G$269,"&gt;0")) + 1)</f>
        <v/>
      </c>
      <c r="R221" t="str">
        <f>IF(H221=0,"","Q"&amp;INT(4*( RANK(H221, IF($H$2:$H$269&lt;&gt;0, $H$2:$H$269), 0) - 1 ) / COUNTIF($H$2:$H$269,"&gt;0")) + 1)</f>
        <v/>
      </c>
      <c r="S221" t="str">
        <f>IF(I221=0,"","Q"&amp;INT(4*( RANK(I221, IF($I$2:$I$269&lt;&gt;0, $I$2:$I$269), 0) - 1 ) / COUNTIF($I$2:$I$269,"&gt;0")) + 1)</f>
        <v/>
      </c>
      <c r="T221" t="str">
        <f>IF(J221=0,"","Q"&amp;INT(4*( RANK(J221, IF($J$2:$J$269&lt;&gt;0, $J$2:$J$269), 0) - 1 ) / COUNTIF($J$2:$J$269,"&gt;0")) + 1)</f>
        <v/>
      </c>
      <c r="U221" t="str">
        <f>IF(K221=0,"","Q"&amp;INT(4*( RANK(K221, IF($K$2:$K$269&lt;&gt;0, $K$2:$K$269), 0) - 1 ) / COUNTIF($K$2:$K$269,"&gt;0")) + 1)</f>
        <v/>
      </c>
    </row>
    <row r="222" spans="1:21" x14ac:dyDescent="0.2">
      <c r="A222" t="s">
        <v>1080</v>
      </c>
      <c r="B222" s="2">
        <v>0</v>
      </c>
      <c r="C222" s="2">
        <v>0.2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t="str">
        <f>IF(B222=0,"","Q"&amp;INT(4*( RANK(B222, IF($B$2:$B$269&lt;&gt;0, $B$2:$B$269), 0) - 1 ) / COUNTIF($B$2:$B$269,"&gt;0")) + 1)</f>
        <v/>
      </c>
      <c r="M222" t="str">
        <f>IF(C222=0,"","Q"&amp;INT(4*( RANK(C222, IF($C$2:$C$269&lt;&gt;0, $C$2:$C$269), 0) - 1 ) / COUNTIF($C$2:$C$269,"&gt;0")) + 1)</f>
        <v>Q3</v>
      </c>
      <c r="N222" t="str">
        <f>IF(D222=0,"","Q"&amp;INT(4*( RANK(D222, IF($D$2:$D$269&lt;&gt;0, $D$2:$D$269), 0) - 1 ) / COUNTIF($D$2:$D$269,"&gt;0")) + 1)</f>
        <v/>
      </c>
      <c r="O222" t="str">
        <f>IF(E222=0,"","Q"&amp;INT(4*( RANK(E222, IF($E$2:$E$269&lt;&gt;0, $E$2:$E$269), 0) - 1 ) / COUNTIF($E$2:$E$269,"&gt;0")) + 1)</f>
        <v/>
      </c>
      <c r="P222" t="str">
        <f>IF(F222=0,"","Q"&amp;INT(4*( RANK(F222, IF($F$2:$F$269&lt;&gt;0, $F$2:$F$269), 0) - 1 ) / COUNTIF($F$2:$F$269,"&gt;0")) + 1)</f>
        <v/>
      </c>
      <c r="Q222" t="str">
        <f>IF(G222=0,"","Q"&amp;INT(4*( RANK(G222, IF($G$2:$G$269&lt;&gt;0, $G$2:$G$269), 0) - 1 ) / COUNTIF($G$2:$G$269,"&gt;0")) + 1)</f>
        <v/>
      </c>
      <c r="R222" t="str">
        <f>IF(H222=0,"","Q"&amp;INT(4*( RANK(H222, IF($H$2:$H$269&lt;&gt;0, $H$2:$H$269), 0) - 1 ) / COUNTIF($H$2:$H$269,"&gt;0")) + 1)</f>
        <v/>
      </c>
      <c r="S222" t="str">
        <f>IF(I222=0,"","Q"&amp;INT(4*( RANK(I222, IF($I$2:$I$269&lt;&gt;0, $I$2:$I$269), 0) - 1 ) / COUNTIF($I$2:$I$269,"&gt;0")) + 1)</f>
        <v/>
      </c>
      <c r="T222" t="str">
        <f>IF(J222=0,"","Q"&amp;INT(4*( RANK(J222, IF($J$2:$J$269&lt;&gt;0, $J$2:$J$269), 0) - 1 ) / COUNTIF($J$2:$J$269,"&gt;0")) + 1)</f>
        <v/>
      </c>
      <c r="U222" t="str">
        <f>IF(K222=0,"","Q"&amp;INT(4*( RANK(K222, IF($K$2:$K$269&lt;&gt;0, $K$2:$K$269), 0) - 1 ) / COUNTIF($K$2:$K$269,"&gt;0")) + 1)</f>
        <v/>
      </c>
    </row>
    <row r="223" spans="1:21" x14ac:dyDescent="0.2">
      <c r="A223" t="s">
        <v>302</v>
      </c>
      <c r="B223" s="2">
        <v>0</v>
      </c>
      <c r="C223" s="2">
        <v>0.4</v>
      </c>
      <c r="D223" s="2">
        <v>0</v>
      </c>
      <c r="E223" s="2">
        <v>1.6806722689075598E-2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t="str">
        <f>IF(B223=0,"","Q"&amp;INT(4*( RANK(B223, IF($B$2:$B$269&lt;&gt;0, $B$2:$B$269), 0) - 1 ) / COUNTIF($B$2:$B$269,"&gt;0")) + 1)</f>
        <v/>
      </c>
      <c r="M223" t="str">
        <f>IF(C223=0,"","Q"&amp;INT(4*( RANK(C223, IF($C$2:$C$269&lt;&gt;0, $C$2:$C$269), 0) - 1 ) / COUNTIF($C$2:$C$269,"&gt;0")) + 1)</f>
        <v>Q2</v>
      </c>
      <c r="N223" t="str">
        <f>IF(D223=0,"","Q"&amp;INT(4*( RANK(D223, IF($D$2:$D$269&lt;&gt;0, $D$2:$D$269), 0) - 1 ) / COUNTIF($D$2:$D$269,"&gt;0")) + 1)</f>
        <v/>
      </c>
      <c r="O223" t="str">
        <f>IF(E223=0,"","Q"&amp;INT(4*( RANK(E223, IF($E$2:$E$269&lt;&gt;0, $E$2:$E$269), 0) - 1 ) / COUNTIF($E$2:$E$269,"&gt;0")) + 1)</f>
        <v>Q2</v>
      </c>
      <c r="P223" t="str">
        <f>IF(F223=0,"","Q"&amp;INT(4*( RANK(F223, IF($F$2:$F$269&lt;&gt;0, $F$2:$F$269), 0) - 1 ) / COUNTIF($F$2:$F$269,"&gt;0")) + 1)</f>
        <v/>
      </c>
      <c r="Q223" t="str">
        <f>IF(G223=0,"","Q"&amp;INT(4*( RANK(G223, IF($G$2:$G$269&lt;&gt;0, $G$2:$G$269), 0) - 1 ) / COUNTIF($G$2:$G$269,"&gt;0")) + 1)</f>
        <v/>
      </c>
      <c r="R223" t="str">
        <f>IF(H223=0,"","Q"&amp;INT(4*( RANK(H223, IF($H$2:$H$269&lt;&gt;0, $H$2:$H$269), 0) - 1 ) / COUNTIF($H$2:$H$269,"&gt;0")) + 1)</f>
        <v/>
      </c>
      <c r="S223" t="str">
        <f>IF(I223=0,"","Q"&amp;INT(4*( RANK(I223, IF($I$2:$I$269&lt;&gt;0, $I$2:$I$269), 0) - 1 ) / COUNTIF($I$2:$I$269,"&gt;0")) + 1)</f>
        <v/>
      </c>
      <c r="T223" t="str">
        <f>IF(J223=0,"","Q"&amp;INT(4*( RANK(J223, IF($J$2:$J$269&lt;&gt;0, $J$2:$J$269), 0) - 1 ) / COUNTIF($J$2:$J$269,"&gt;0")) + 1)</f>
        <v/>
      </c>
      <c r="U223" t="str">
        <f>IF(K223=0,"","Q"&amp;INT(4*( RANK(K223, IF($K$2:$K$269&lt;&gt;0, $K$2:$K$269), 0) - 1 ) / COUNTIF($K$2:$K$269,"&gt;0")) + 1)</f>
        <v/>
      </c>
    </row>
    <row r="224" spans="1:21" x14ac:dyDescent="0.2">
      <c r="A224" t="s">
        <v>1081</v>
      </c>
      <c r="B224" s="2">
        <v>0</v>
      </c>
      <c r="C224" s="2">
        <v>0</v>
      </c>
      <c r="D224" s="2">
        <v>0</v>
      </c>
      <c r="E224" s="2">
        <v>8.4033613445378096E-3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t="str">
        <f>IF(B224=0,"","Q"&amp;INT(4*( RANK(B224, IF($B$2:$B$269&lt;&gt;0, $B$2:$B$269), 0) - 1 ) / COUNTIF($B$2:$B$269,"&gt;0")) + 1)</f>
        <v/>
      </c>
      <c r="M224" t="str">
        <f>IF(C224=0,"","Q"&amp;INT(4*( RANK(C224, IF($C$2:$C$269&lt;&gt;0, $C$2:$C$269), 0) - 1 ) / COUNTIF($C$2:$C$269,"&gt;0")) + 1)</f>
        <v/>
      </c>
      <c r="N224" t="str">
        <f>IF(D224=0,"","Q"&amp;INT(4*( RANK(D224, IF($D$2:$D$269&lt;&gt;0, $D$2:$D$269), 0) - 1 ) / COUNTIF($D$2:$D$269,"&gt;0")) + 1)</f>
        <v/>
      </c>
      <c r="O224" t="str">
        <f>IF(E224=0,"","Q"&amp;INT(4*( RANK(E224, IF($E$2:$E$269&lt;&gt;0, $E$2:$E$269), 0) - 1 ) / COUNTIF($E$2:$E$269,"&gt;0")) + 1)</f>
        <v>Q3</v>
      </c>
      <c r="P224" t="str">
        <f>IF(F224=0,"","Q"&amp;INT(4*( RANK(F224, IF($F$2:$F$269&lt;&gt;0, $F$2:$F$269), 0) - 1 ) / COUNTIF($F$2:$F$269,"&gt;0")) + 1)</f>
        <v/>
      </c>
      <c r="Q224" t="str">
        <f>IF(G224=0,"","Q"&amp;INT(4*( RANK(G224, IF($G$2:$G$269&lt;&gt;0, $G$2:$G$269), 0) - 1 ) / COUNTIF($G$2:$G$269,"&gt;0")) + 1)</f>
        <v/>
      </c>
      <c r="R224" t="str">
        <f>IF(H224=0,"","Q"&amp;INT(4*( RANK(H224, IF($H$2:$H$269&lt;&gt;0, $H$2:$H$269), 0) - 1 ) / COUNTIF($H$2:$H$269,"&gt;0")) + 1)</f>
        <v/>
      </c>
      <c r="S224" t="str">
        <f>IF(I224=0,"","Q"&amp;INT(4*( RANK(I224, IF($I$2:$I$269&lt;&gt;0, $I$2:$I$269), 0) - 1 ) / COUNTIF($I$2:$I$269,"&gt;0")) + 1)</f>
        <v/>
      </c>
      <c r="T224" t="str">
        <f>IF(J224=0,"","Q"&amp;INT(4*( RANK(J224, IF($J$2:$J$269&lt;&gt;0, $J$2:$J$269), 0) - 1 ) / COUNTIF($J$2:$J$269,"&gt;0")) + 1)</f>
        <v/>
      </c>
      <c r="U224" t="str">
        <f>IF(K224=0,"","Q"&amp;INT(4*( RANK(K224, IF($K$2:$K$269&lt;&gt;0, $K$2:$K$269), 0) - 1 ) / COUNTIF($K$2:$K$269,"&gt;0")) + 1)</f>
        <v/>
      </c>
    </row>
    <row r="225" spans="1:21" x14ac:dyDescent="0.2">
      <c r="A225" t="s">
        <v>1082</v>
      </c>
      <c r="B225" s="2">
        <v>0</v>
      </c>
      <c r="C225" s="2">
        <v>0</v>
      </c>
      <c r="D225" s="2">
        <v>0</v>
      </c>
      <c r="E225" s="2">
        <v>2.94117647058823E-2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t="str">
        <f>IF(B225=0,"","Q"&amp;INT(4*( RANK(B225, IF($B$2:$B$269&lt;&gt;0, $B$2:$B$269), 0) - 1 ) / COUNTIF($B$2:$B$269,"&gt;0")) + 1)</f>
        <v/>
      </c>
      <c r="M225" t="str">
        <f>IF(C225=0,"","Q"&amp;INT(4*( RANK(C225, IF($C$2:$C$269&lt;&gt;0, $C$2:$C$269), 0) - 1 ) / COUNTIF($C$2:$C$269,"&gt;0")) + 1)</f>
        <v/>
      </c>
      <c r="N225" t="str">
        <f>IF(D225=0,"","Q"&amp;INT(4*( RANK(D225, IF($D$2:$D$269&lt;&gt;0, $D$2:$D$269), 0) - 1 ) / COUNTIF($D$2:$D$269,"&gt;0")) + 1)</f>
        <v/>
      </c>
      <c r="O225" t="str">
        <f>IF(E225=0,"","Q"&amp;INT(4*( RANK(E225, IF($E$2:$E$269&lt;&gt;0, $E$2:$E$269), 0) - 1 ) / COUNTIF($E$2:$E$269,"&gt;0")) + 1)</f>
        <v>Q1</v>
      </c>
      <c r="P225" t="str">
        <f>IF(F225=0,"","Q"&amp;INT(4*( RANK(F225, IF($F$2:$F$269&lt;&gt;0, $F$2:$F$269), 0) - 1 ) / COUNTIF($F$2:$F$269,"&gt;0")) + 1)</f>
        <v/>
      </c>
      <c r="Q225" t="str">
        <f>IF(G225=0,"","Q"&amp;INT(4*( RANK(G225, IF($G$2:$G$269&lt;&gt;0, $G$2:$G$269), 0) - 1 ) / COUNTIF($G$2:$G$269,"&gt;0")) + 1)</f>
        <v/>
      </c>
      <c r="R225" t="str">
        <f>IF(H225=0,"","Q"&amp;INT(4*( RANK(H225, IF($H$2:$H$269&lt;&gt;0, $H$2:$H$269), 0) - 1 ) / COUNTIF($H$2:$H$269,"&gt;0")) + 1)</f>
        <v/>
      </c>
      <c r="S225" t="str">
        <f>IF(I225=0,"","Q"&amp;INT(4*( RANK(I225, IF($I$2:$I$269&lt;&gt;0, $I$2:$I$269), 0) - 1 ) / COUNTIF($I$2:$I$269,"&gt;0")) + 1)</f>
        <v/>
      </c>
      <c r="T225" t="str">
        <f>IF(J225=0,"","Q"&amp;INT(4*( RANK(J225, IF($J$2:$J$269&lt;&gt;0, $J$2:$J$269), 0) - 1 ) / COUNTIF($J$2:$J$269,"&gt;0")) + 1)</f>
        <v/>
      </c>
      <c r="U225" t="str">
        <f>IF(K225=0,"","Q"&amp;INT(4*( RANK(K225, IF($K$2:$K$269&lt;&gt;0, $K$2:$K$269), 0) - 1 ) / COUNTIF($K$2:$K$269,"&gt;0")) + 1)</f>
        <v/>
      </c>
    </row>
    <row r="226" spans="1:21" x14ac:dyDescent="0.2">
      <c r="A226" t="s">
        <v>1083</v>
      </c>
      <c r="B226" s="2">
        <v>0</v>
      </c>
      <c r="C226" s="2">
        <v>0</v>
      </c>
      <c r="D226" s="2">
        <v>0</v>
      </c>
      <c r="E226" s="2">
        <v>1.26050420168067E-2</v>
      </c>
      <c r="F226" s="2">
        <v>0</v>
      </c>
      <c r="G226" s="2">
        <v>0</v>
      </c>
      <c r="H226" s="2">
        <v>0</v>
      </c>
      <c r="I226" s="2">
        <v>0</v>
      </c>
      <c r="J226" s="2">
        <v>6.9767441860465101E-2</v>
      </c>
      <c r="K226" s="2">
        <v>0</v>
      </c>
      <c r="L226" t="str">
        <f>IF(B226=0,"","Q"&amp;INT(4*( RANK(B226, IF($B$2:$B$269&lt;&gt;0, $B$2:$B$269), 0) - 1 ) / COUNTIF($B$2:$B$269,"&gt;0")) + 1)</f>
        <v/>
      </c>
      <c r="M226" t="str">
        <f>IF(C226=0,"","Q"&amp;INT(4*( RANK(C226, IF($C$2:$C$269&lt;&gt;0, $C$2:$C$269), 0) - 1 ) / COUNTIF($C$2:$C$269,"&gt;0")) + 1)</f>
        <v/>
      </c>
      <c r="N226" t="str">
        <f>IF(D226=0,"","Q"&amp;INT(4*( RANK(D226, IF($D$2:$D$269&lt;&gt;0, $D$2:$D$269), 0) - 1 ) / COUNTIF($D$2:$D$269,"&gt;0")) + 1)</f>
        <v/>
      </c>
      <c r="O226" t="str">
        <f>IF(E226=0,"","Q"&amp;INT(4*( RANK(E226, IF($E$2:$E$269&lt;&gt;0, $E$2:$E$269), 0) - 1 ) / COUNTIF($E$2:$E$269,"&gt;0")) + 1)</f>
        <v>Q2</v>
      </c>
      <c r="P226" t="str">
        <f>IF(F226=0,"","Q"&amp;INT(4*( RANK(F226, IF($F$2:$F$269&lt;&gt;0, $F$2:$F$269), 0) - 1 ) / COUNTIF($F$2:$F$269,"&gt;0")) + 1)</f>
        <v/>
      </c>
      <c r="Q226" t="str">
        <f>IF(G226=0,"","Q"&amp;INT(4*( RANK(G226, IF($G$2:$G$269&lt;&gt;0, $G$2:$G$269), 0) - 1 ) / COUNTIF($G$2:$G$269,"&gt;0")) + 1)</f>
        <v/>
      </c>
      <c r="R226" t="str">
        <f>IF(H226=0,"","Q"&amp;INT(4*( RANK(H226, IF($H$2:$H$269&lt;&gt;0, $H$2:$H$269), 0) - 1 ) / COUNTIF($H$2:$H$269,"&gt;0")) + 1)</f>
        <v/>
      </c>
      <c r="S226" t="str">
        <f>IF(I226=0,"","Q"&amp;INT(4*( RANK(I226, IF($I$2:$I$269&lt;&gt;0, $I$2:$I$269), 0) - 1 ) / COUNTIF($I$2:$I$269,"&gt;0")) + 1)</f>
        <v/>
      </c>
      <c r="T226" t="str">
        <f>IF(J226=0,"","Q"&amp;INT(4*( RANK(J226, IF($J$2:$J$269&lt;&gt;0, $J$2:$J$269), 0) - 1 ) / COUNTIF($J$2:$J$269,"&gt;0")) + 1)</f>
        <v>Q3</v>
      </c>
      <c r="U226" t="str">
        <f>IF(K226=0,"","Q"&amp;INT(4*( RANK(K226, IF($K$2:$K$269&lt;&gt;0, $K$2:$K$269), 0) - 1 ) / COUNTIF($K$2:$K$269,"&gt;0")) + 1)</f>
        <v/>
      </c>
    </row>
    <row r="227" spans="1:21" x14ac:dyDescent="0.2">
      <c r="A227" t="s">
        <v>1012</v>
      </c>
      <c r="B227" s="2">
        <v>0</v>
      </c>
      <c r="C227" s="2">
        <v>0</v>
      </c>
      <c r="D227" s="2">
        <v>0</v>
      </c>
      <c r="E227" s="2">
        <v>4.2016806722688996E-3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t="str">
        <f>IF(B227=0,"","Q"&amp;INT(4*( RANK(B227, IF($B$2:$B$269&lt;&gt;0, $B$2:$B$269), 0) - 1 ) / COUNTIF($B$2:$B$269,"&gt;0")) + 1)</f>
        <v/>
      </c>
      <c r="M227" t="str">
        <f>IF(C227=0,"","Q"&amp;INT(4*( RANK(C227, IF($C$2:$C$269&lt;&gt;0, $C$2:$C$269), 0) - 1 ) / COUNTIF($C$2:$C$269,"&gt;0")) + 1)</f>
        <v/>
      </c>
      <c r="N227" t="str">
        <f>IF(D227=0,"","Q"&amp;INT(4*( RANK(D227, IF($D$2:$D$269&lt;&gt;0, $D$2:$D$269), 0) - 1 ) / COUNTIF($D$2:$D$269,"&gt;0")) + 1)</f>
        <v/>
      </c>
      <c r="O227" t="str">
        <f>IF(E227=0,"","Q"&amp;INT(4*( RANK(E227, IF($E$2:$E$269&lt;&gt;0, $E$2:$E$269), 0) - 1 ) / COUNTIF($E$2:$E$269,"&gt;0")) + 1)</f>
        <v>Q4</v>
      </c>
      <c r="P227" t="str">
        <f>IF(F227=0,"","Q"&amp;INT(4*( RANK(F227, IF($F$2:$F$269&lt;&gt;0, $F$2:$F$269), 0) - 1 ) / COUNTIF($F$2:$F$269,"&gt;0")) + 1)</f>
        <v/>
      </c>
      <c r="Q227" t="str">
        <f>IF(G227=0,"","Q"&amp;INT(4*( RANK(G227, IF($G$2:$G$269&lt;&gt;0, $G$2:$G$269), 0) - 1 ) / COUNTIF($G$2:$G$269,"&gt;0")) + 1)</f>
        <v/>
      </c>
      <c r="R227" t="str">
        <f>IF(H227=0,"","Q"&amp;INT(4*( RANK(H227, IF($H$2:$H$269&lt;&gt;0, $H$2:$H$269), 0) - 1 ) / COUNTIF($H$2:$H$269,"&gt;0")) + 1)</f>
        <v/>
      </c>
      <c r="S227" t="str">
        <f>IF(I227=0,"","Q"&amp;INT(4*( RANK(I227, IF($I$2:$I$269&lt;&gt;0, $I$2:$I$269), 0) - 1 ) / COUNTIF($I$2:$I$269,"&gt;0")) + 1)</f>
        <v/>
      </c>
      <c r="T227" t="str">
        <f>IF(J227=0,"","Q"&amp;INT(4*( RANK(J227, IF($J$2:$J$269&lt;&gt;0, $J$2:$J$269), 0) - 1 ) / COUNTIF($J$2:$J$269,"&gt;0")) + 1)</f>
        <v/>
      </c>
      <c r="U227" t="str">
        <f>IF(K227=0,"","Q"&amp;INT(4*( RANK(K227, IF($K$2:$K$269&lt;&gt;0, $K$2:$K$269), 0) - 1 ) / COUNTIF($K$2:$K$269,"&gt;0")) + 1)</f>
        <v/>
      </c>
    </row>
    <row r="228" spans="1:21" x14ac:dyDescent="0.2">
      <c r="A228" t="s">
        <v>1084</v>
      </c>
      <c r="B228" s="2">
        <v>0</v>
      </c>
      <c r="C228" s="2">
        <v>0</v>
      </c>
      <c r="D228" s="2">
        <v>0</v>
      </c>
      <c r="E228" s="2">
        <v>1.6806722689075598E-2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t="str">
        <f>IF(B228=0,"","Q"&amp;INT(4*( RANK(B228, IF($B$2:$B$269&lt;&gt;0, $B$2:$B$269), 0) - 1 ) / COUNTIF($B$2:$B$269,"&gt;0")) + 1)</f>
        <v/>
      </c>
      <c r="M228" t="str">
        <f>IF(C228=0,"","Q"&amp;INT(4*( RANK(C228, IF($C$2:$C$269&lt;&gt;0, $C$2:$C$269), 0) - 1 ) / COUNTIF($C$2:$C$269,"&gt;0")) + 1)</f>
        <v/>
      </c>
      <c r="N228" t="str">
        <f>IF(D228=0,"","Q"&amp;INT(4*( RANK(D228, IF($D$2:$D$269&lt;&gt;0, $D$2:$D$269), 0) - 1 ) / COUNTIF($D$2:$D$269,"&gt;0")) + 1)</f>
        <v/>
      </c>
      <c r="O228" t="str">
        <f>IF(E228=0,"","Q"&amp;INT(4*( RANK(E228, IF($E$2:$E$269&lt;&gt;0, $E$2:$E$269), 0) - 1 ) / COUNTIF($E$2:$E$269,"&gt;0")) + 1)</f>
        <v>Q2</v>
      </c>
      <c r="P228" t="str">
        <f>IF(F228=0,"","Q"&amp;INT(4*( RANK(F228, IF($F$2:$F$269&lt;&gt;0, $F$2:$F$269), 0) - 1 ) / COUNTIF($F$2:$F$269,"&gt;0")) + 1)</f>
        <v/>
      </c>
      <c r="Q228" t="str">
        <f>IF(G228=0,"","Q"&amp;INT(4*( RANK(G228, IF($G$2:$G$269&lt;&gt;0, $G$2:$G$269), 0) - 1 ) / COUNTIF($G$2:$G$269,"&gt;0")) + 1)</f>
        <v/>
      </c>
      <c r="R228" t="str">
        <f>IF(H228=0,"","Q"&amp;INT(4*( RANK(H228, IF($H$2:$H$269&lt;&gt;0, $H$2:$H$269), 0) - 1 ) / COUNTIF($H$2:$H$269,"&gt;0")) + 1)</f>
        <v/>
      </c>
      <c r="S228" t="str">
        <f>IF(I228=0,"","Q"&amp;INT(4*( RANK(I228, IF($I$2:$I$269&lt;&gt;0, $I$2:$I$269), 0) - 1 ) / COUNTIF($I$2:$I$269,"&gt;0")) + 1)</f>
        <v/>
      </c>
      <c r="T228" t="str">
        <f>IF(J228=0,"","Q"&amp;INT(4*( RANK(J228, IF($J$2:$J$269&lt;&gt;0, $J$2:$J$269), 0) - 1 ) / COUNTIF($J$2:$J$269,"&gt;0")) + 1)</f>
        <v/>
      </c>
      <c r="U228" t="str">
        <f>IF(K228=0,"","Q"&amp;INT(4*( RANK(K228, IF($K$2:$K$269&lt;&gt;0, $K$2:$K$269), 0) - 1 ) / COUNTIF($K$2:$K$269,"&gt;0")) + 1)</f>
        <v/>
      </c>
    </row>
    <row r="229" spans="1:21" x14ac:dyDescent="0.2">
      <c r="A229" t="s">
        <v>1085</v>
      </c>
      <c r="B229" s="2">
        <v>0</v>
      </c>
      <c r="C229" s="2">
        <v>0</v>
      </c>
      <c r="D229" s="2">
        <v>0</v>
      </c>
      <c r="E229" s="2">
        <v>2.5210084033613401E-2</v>
      </c>
      <c r="F229" s="2">
        <v>7.69230769230769E-2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t="str">
        <f>IF(B229=0,"","Q"&amp;INT(4*( RANK(B229, IF($B$2:$B$269&lt;&gt;0, $B$2:$B$269), 0) - 1 ) / COUNTIF($B$2:$B$269,"&gt;0")) + 1)</f>
        <v/>
      </c>
      <c r="M229" t="str">
        <f>IF(C229=0,"","Q"&amp;INT(4*( RANK(C229, IF($C$2:$C$269&lt;&gt;0, $C$2:$C$269), 0) - 1 ) / COUNTIF($C$2:$C$269,"&gt;0")) + 1)</f>
        <v/>
      </c>
      <c r="N229" t="str">
        <f>IF(D229=0,"","Q"&amp;INT(4*( RANK(D229, IF($D$2:$D$269&lt;&gt;0, $D$2:$D$269), 0) - 1 ) / COUNTIF($D$2:$D$269,"&gt;0")) + 1)</f>
        <v/>
      </c>
      <c r="O229" t="str">
        <f>IF(E229=0,"","Q"&amp;INT(4*( RANK(E229, IF($E$2:$E$269&lt;&gt;0, $E$2:$E$269), 0) - 1 ) / COUNTIF($E$2:$E$269,"&gt;0")) + 1)</f>
        <v>Q1</v>
      </c>
      <c r="P229" t="str">
        <f>IF(F229=0,"","Q"&amp;INT(4*( RANK(F229, IF($F$2:$F$269&lt;&gt;0, $F$2:$F$269), 0) - 1 ) / COUNTIF($F$2:$F$269,"&gt;0")) + 1)</f>
        <v>Q3</v>
      </c>
      <c r="Q229" t="str">
        <f>IF(G229=0,"","Q"&amp;INT(4*( RANK(G229, IF($G$2:$G$269&lt;&gt;0, $G$2:$G$269), 0) - 1 ) / COUNTIF($G$2:$G$269,"&gt;0")) + 1)</f>
        <v/>
      </c>
      <c r="R229" t="str">
        <f>IF(H229=0,"","Q"&amp;INT(4*( RANK(H229, IF($H$2:$H$269&lt;&gt;0, $H$2:$H$269), 0) - 1 ) / COUNTIF($H$2:$H$269,"&gt;0")) + 1)</f>
        <v/>
      </c>
      <c r="S229" t="str">
        <f>IF(I229=0,"","Q"&amp;INT(4*( RANK(I229, IF($I$2:$I$269&lt;&gt;0, $I$2:$I$269), 0) - 1 ) / COUNTIF($I$2:$I$269,"&gt;0")) + 1)</f>
        <v/>
      </c>
      <c r="T229" t="str">
        <f>IF(J229=0,"","Q"&amp;INT(4*( RANK(J229, IF($J$2:$J$269&lt;&gt;0, $J$2:$J$269), 0) - 1 ) / COUNTIF($J$2:$J$269,"&gt;0")) + 1)</f>
        <v/>
      </c>
      <c r="U229" t="str">
        <f>IF(K229=0,"","Q"&amp;INT(4*( RANK(K229, IF($K$2:$K$269&lt;&gt;0, $K$2:$K$269), 0) - 1 ) / COUNTIF($K$2:$K$269,"&gt;0")) + 1)</f>
        <v/>
      </c>
    </row>
    <row r="230" spans="1:21" x14ac:dyDescent="0.2">
      <c r="A230" t="s">
        <v>309</v>
      </c>
      <c r="B230" s="2">
        <v>0</v>
      </c>
      <c r="C230" s="2">
        <v>0</v>
      </c>
      <c r="D230" s="2">
        <v>0</v>
      </c>
      <c r="E230" s="2">
        <v>0</v>
      </c>
      <c r="F230" s="2">
        <v>0.115384615384615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t="str">
        <f>IF(B230=0,"","Q"&amp;INT(4*( RANK(B230, IF($B$2:$B$269&lt;&gt;0, $B$2:$B$269), 0) - 1 ) / COUNTIF($B$2:$B$269,"&gt;0")) + 1)</f>
        <v/>
      </c>
      <c r="M230" t="str">
        <f>IF(C230=0,"","Q"&amp;INT(4*( RANK(C230, IF($C$2:$C$269&lt;&gt;0, $C$2:$C$269), 0) - 1 ) / COUNTIF($C$2:$C$269,"&gt;0")) + 1)</f>
        <v/>
      </c>
      <c r="N230" t="str">
        <f>IF(D230=0,"","Q"&amp;INT(4*( RANK(D230, IF($D$2:$D$269&lt;&gt;0, $D$2:$D$269), 0) - 1 ) / COUNTIF($D$2:$D$269,"&gt;0")) + 1)</f>
        <v/>
      </c>
      <c r="O230" t="str">
        <f>IF(E230=0,"","Q"&amp;INT(4*( RANK(E230, IF($E$2:$E$269&lt;&gt;0, $E$2:$E$269), 0) - 1 ) / COUNTIF($E$2:$E$269,"&gt;0")) + 1)</f>
        <v/>
      </c>
      <c r="P230" t="str">
        <f>IF(F230=0,"","Q"&amp;INT(4*( RANK(F230, IF($F$2:$F$269&lt;&gt;0, $F$2:$F$269), 0) - 1 ) / COUNTIF($F$2:$F$269,"&gt;0")) + 1)</f>
        <v>Q2</v>
      </c>
      <c r="Q230" t="str">
        <f>IF(G230=0,"","Q"&amp;INT(4*( RANK(G230, IF($G$2:$G$269&lt;&gt;0, $G$2:$G$269), 0) - 1 ) / COUNTIF($G$2:$G$269,"&gt;0")) + 1)</f>
        <v/>
      </c>
      <c r="R230" t="str">
        <f>IF(H230=0,"","Q"&amp;INT(4*( RANK(H230, IF($H$2:$H$269&lt;&gt;0, $H$2:$H$269), 0) - 1 ) / COUNTIF($H$2:$H$269,"&gt;0")) + 1)</f>
        <v/>
      </c>
      <c r="S230" t="str">
        <f>IF(I230=0,"","Q"&amp;INT(4*( RANK(I230, IF($I$2:$I$269&lt;&gt;0, $I$2:$I$269), 0) - 1 ) / COUNTIF($I$2:$I$269,"&gt;0")) + 1)</f>
        <v/>
      </c>
      <c r="T230" t="str">
        <f>IF(J230=0,"","Q"&amp;INT(4*( RANK(J230, IF($J$2:$J$269&lt;&gt;0, $J$2:$J$269), 0) - 1 ) / COUNTIF($J$2:$J$269,"&gt;0")) + 1)</f>
        <v/>
      </c>
      <c r="U230" t="str">
        <f>IF(K230=0,"","Q"&amp;INT(4*( RANK(K230, IF($K$2:$K$269&lt;&gt;0, $K$2:$K$269), 0) - 1 ) / COUNTIF($K$2:$K$269,"&gt;0")) + 1)</f>
        <v/>
      </c>
    </row>
    <row r="231" spans="1:21" x14ac:dyDescent="0.2">
      <c r="A231" t="s">
        <v>1013</v>
      </c>
      <c r="B231" s="2">
        <v>0</v>
      </c>
      <c r="C231" s="2">
        <v>0</v>
      </c>
      <c r="D231" s="2">
        <v>0</v>
      </c>
      <c r="E231" s="2">
        <v>2.94117647058823E-2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t="str">
        <f>IF(B231=0,"","Q"&amp;INT(4*( RANK(B231, IF($B$2:$B$269&lt;&gt;0, $B$2:$B$269), 0) - 1 ) / COUNTIF($B$2:$B$269,"&gt;0")) + 1)</f>
        <v/>
      </c>
      <c r="M231" t="str">
        <f>IF(C231=0,"","Q"&amp;INT(4*( RANK(C231, IF($C$2:$C$269&lt;&gt;0, $C$2:$C$269), 0) - 1 ) / COUNTIF($C$2:$C$269,"&gt;0")) + 1)</f>
        <v/>
      </c>
      <c r="N231" t="str">
        <f>IF(D231=0,"","Q"&amp;INT(4*( RANK(D231, IF($D$2:$D$269&lt;&gt;0, $D$2:$D$269), 0) - 1 ) / COUNTIF($D$2:$D$269,"&gt;0")) + 1)</f>
        <v/>
      </c>
      <c r="O231" t="str">
        <f>IF(E231=0,"","Q"&amp;INT(4*( RANK(E231, IF($E$2:$E$269&lt;&gt;0, $E$2:$E$269), 0) - 1 ) / COUNTIF($E$2:$E$269,"&gt;0")) + 1)</f>
        <v>Q1</v>
      </c>
      <c r="P231" t="str">
        <f>IF(F231=0,"","Q"&amp;INT(4*( RANK(F231, IF($F$2:$F$269&lt;&gt;0, $F$2:$F$269), 0) - 1 ) / COUNTIF($F$2:$F$269,"&gt;0")) + 1)</f>
        <v/>
      </c>
      <c r="Q231" t="str">
        <f>IF(G231=0,"","Q"&amp;INT(4*( RANK(G231, IF($G$2:$G$269&lt;&gt;0, $G$2:$G$269), 0) - 1 ) / COUNTIF($G$2:$G$269,"&gt;0")) + 1)</f>
        <v/>
      </c>
      <c r="R231" t="str">
        <f>IF(H231=0,"","Q"&amp;INT(4*( RANK(H231, IF($H$2:$H$269&lt;&gt;0, $H$2:$H$269), 0) - 1 ) / COUNTIF($H$2:$H$269,"&gt;0")) + 1)</f>
        <v/>
      </c>
      <c r="S231" t="str">
        <f>IF(I231=0,"","Q"&amp;INT(4*( RANK(I231, IF($I$2:$I$269&lt;&gt;0, $I$2:$I$269), 0) - 1 ) / COUNTIF($I$2:$I$269,"&gt;0")) + 1)</f>
        <v/>
      </c>
      <c r="T231" t="str">
        <f>IF(J231=0,"","Q"&amp;INT(4*( RANK(J231, IF($J$2:$J$269&lt;&gt;0, $J$2:$J$269), 0) - 1 ) / COUNTIF($J$2:$J$269,"&gt;0")) + 1)</f>
        <v/>
      </c>
      <c r="U231" t="str">
        <f>IF(K231=0,"","Q"&amp;INT(4*( RANK(K231, IF($K$2:$K$269&lt;&gt;0, $K$2:$K$269), 0) - 1 ) / COUNTIF($K$2:$K$269,"&gt;0")) + 1)</f>
        <v/>
      </c>
    </row>
    <row r="232" spans="1:21" x14ac:dyDescent="0.2">
      <c r="A232" s="8" t="s">
        <v>312</v>
      </c>
      <c r="B232" s="2">
        <v>0</v>
      </c>
      <c r="C232" s="2">
        <v>0</v>
      </c>
      <c r="D232" s="2">
        <v>0.952380952380952</v>
      </c>
      <c r="E232" s="2">
        <v>2.94117647058823E-2</v>
      </c>
      <c r="F232" s="2">
        <v>0.115384615384615</v>
      </c>
      <c r="G232" s="2">
        <v>0</v>
      </c>
      <c r="H232" s="2">
        <v>0</v>
      </c>
      <c r="I232" s="2">
        <v>0</v>
      </c>
      <c r="J232" s="2">
        <v>7.0000000000000007E-2</v>
      </c>
      <c r="K232" s="2">
        <v>0</v>
      </c>
      <c r="L232" t="str">
        <f>IF(B232=0,"","Q"&amp;INT(4*( RANK(B232, IF($B$2:$B$269&lt;&gt;0, $B$2:$B$269), 0) - 1 ) / COUNTIF($B$2:$B$269,"&gt;0")) + 1)</f>
        <v/>
      </c>
      <c r="M232" t="str">
        <f>IF(C232=0,"","Q"&amp;INT(4*( RANK(C232, IF($C$2:$C$269&lt;&gt;0, $C$2:$C$269), 0) - 1 ) / COUNTIF($C$2:$C$269,"&gt;0")) + 1)</f>
        <v/>
      </c>
      <c r="N232" t="str">
        <f>IF(D232=0,"","Q"&amp;INT(4*( RANK(D232, IF($D$2:$D$269&lt;&gt;0, $D$2:$D$269), 0) - 1 ) / COUNTIF($D$2:$D$269,"&gt;0")) + 1)</f>
        <v>Q1</v>
      </c>
      <c r="O232" t="str">
        <f>IF(E232=0,"","Q"&amp;INT(4*( RANK(E232, IF($E$2:$E$269&lt;&gt;0, $E$2:$E$269), 0) - 1 ) / COUNTIF($E$2:$E$269,"&gt;0")) + 1)</f>
        <v>Q1</v>
      </c>
      <c r="P232" t="str">
        <f>IF(F232=0,"","Q"&amp;INT(4*( RANK(F232, IF($F$2:$F$269&lt;&gt;0, $F$2:$F$269), 0) - 1 ) / COUNTIF($F$2:$F$269,"&gt;0")) + 1)</f>
        <v>Q2</v>
      </c>
      <c r="Q232" t="str">
        <f>IF(G232=0,"","Q"&amp;INT(4*( RANK(G232, IF($G$2:$G$269&lt;&gt;0, $G$2:$G$269), 0) - 1 ) / COUNTIF($G$2:$G$269,"&gt;0")) + 1)</f>
        <v/>
      </c>
      <c r="R232" t="str">
        <f>IF(H232=0,"","Q"&amp;INT(4*( RANK(H232, IF($H$2:$H$269&lt;&gt;0, $H$2:$H$269), 0) - 1 ) / COUNTIF($H$2:$H$269,"&gt;0")) + 1)</f>
        <v/>
      </c>
      <c r="S232" t="str">
        <f>IF(I232=0,"","Q"&amp;INT(4*( RANK(I232, IF($I$2:$I$269&lt;&gt;0, $I$2:$I$269), 0) - 1 ) / COUNTIF($I$2:$I$269,"&gt;0")) + 1)</f>
        <v/>
      </c>
      <c r="T232" t="str">
        <f>IF(J232=0,"","Q"&amp;INT(4*( RANK(J232, IF($J$2:$J$269&lt;&gt;0, $J$2:$J$269), 0) - 1 ) / COUNTIF($J$2:$J$269,"&gt;0")) + 1)</f>
        <v>Q3</v>
      </c>
      <c r="U232" t="str">
        <f>IF(K232=0,"","Q"&amp;INT(4*( RANK(K232, IF($K$2:$K$269&lt;&gt;0, $K$2:$K$269), 0) - 1 ) / COUNTIF($K$2:$K$269,"&gt;0")) + 1)</f>
        <v/>
      </c>
    </row>
    <row r="233" spans="1:21" x14ac:dyDescent="0.2">
      <c r="A233" t="s">
        <v>1014</v>
      </c>
      <c r="B233" s="2">
        <v>0</v>
      </c>
      <c r="C233" s="2">
        <v>0</v>
      </c>
      <c r="D233" s="2">
        <v>0</v>
      </c>
      <c r="E233" s="2">
        <v>2.5210084033613401E-2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t="str">
        <f>IF(B233=0,"","Q"&amp;INT(4*( RANK(B233, IF($B$2:$B$269&lt;&gt;0, $B$2:$B$269), 0) - 1 ) / COUNTIF($B$2:$B$269,"&gt;0")) + 1)</f>
        <v/>
      </c>
      <c r="M233" t="str">
        <f>IF(C233=0,"","Q"&amp;INT(4*( RANK(C233, IF($C$2:$C$269&lt;&gt;0, $C$2:$C$269), 0) - 1 ) / COUNTIF($C$2:$C$269,"&gt;0")) + 1)</f>
        <v/>
      </c>
      <c r="N233" t="str">
        <f>IF(D233=0,"","Q"&amp;INT(4*( RANK(D233, IF($D$2:$D$269&lt;&gt;0, $D$2:$D$269), 0) - 1 ) / COUNTIF($D$2:$D$269,"&gt;0")) + 1)</f>
        <v/>
      </c>
      <c r="O233" t="str">
        <f>IF(E233=0,"","Q"&amp;INT(4*( RANK(E233, IF($E$2:$E$269&lt;&gt;0, $E$2:$E$269), 0) - 1 ) / COUNTIF($E$2:$E$269,"&gt;0")) + 1)</f>
        <v>Q1</v>
      </c>
      <c r="P233" t="str">
        <f>IF(F233=0,"","Q"&amp;INT(4*( RANK(F233, IF($F$2:$F$269&lt;&gt;0, $F$2:$F$269), 0) - 1 ) / COUNTIF($F$2:$F$269,"&gt;0")) + 1)</f>
        <v/>
      </c>
      <c r="Q233" t="str">
        <f>IF(G233=0,"","Q"&amp;INT(4*( RANK(G233, IF($G$2:$G$269&lt;&gt;0, $G$2:$G$269), 0) - 1 ) / COUNTIF($G$2:$G$269,"&gt;0")) + 1)</f>
        <v/>
      </c>
      <c r="R233" t="str">
        <f>IF(H233=0,"","Q"&amp;INT(4*( RANK(H233, IF($H$2:$H$269&lt;&gt;0, $H$2:$H$269), 0) - 1 ) / COUNTIF($H$2:$H$269,"&gt;0")) + 1)</f>
        <v/>
      </c>
      <c r="S233" t="str">
        <f>IF(I233=0,"","Q"&amp;INT(4*( RANK(I233, IF($I$2:$I$269&lt;&gt;0, $I$2:$I$269), 0) - 1 ) / COUNTIF($I$2:$I$269,"&gt;0")) + 1)</f>
        <v/>
      </c>
      <c r="T233" t="str">
        <f>IF(J233=0,"","Q"&amp;INT(4*( RANK(J233, IF($J$2:$J$269&lt;&gt;0, $J$2:$J$269), 0) - 1 ) / COUNTIF($J$2:$J$269,"&gt;0")) + 1)</f>
        <v/>
      </c>
      <c r="U233" t="str">
        <f>IF(K233=0,"","Q"&amp;INT(4*( RANK(K233, IF($K$2:$K$269&lt;&gt;0, $K$2:$K$269), 0) - 1 ) / COUNTIF($K$2:$K$269,"&gt;0")) + 1)</f>
        <v/>
      </c>
    </row>
    <row r="234" spans="1:21" x14ac:dyDescent="0.2">
      <c r="A234" t="s">
        <v>1015</v>
      </c>
      <c r="B234" s="2">
        <v>0</v>
      </c>
      <c r="C234" s="2">
        <v>0</v>
      </c>
      <c r="D234" s="2">
        <v>0</v>
      </c>
      <c r="E234" s="2">
        <v>1.26050420168067E-2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t="str">
        <f>IF(B234=0,"","Q"&amp;INT(4*( RANK(B234, IF($B$2:$B$269&lt;&gt;0, $B$2:$B$269), 0) - 1 ) / COUNTIF($B$2:$B$269,"&gt;0")) + 1)</f>
        <v/>
      </c>
      <c r="M234" t="str">
        <f>IF(C234=0,"","Q"&amp;INT(4*( RANK(C234, IF($C$2:$C$269&lt;&gt;0, $C$2:$C$269), 0) - 1 ) / COUNTIF($C$2:$C$269,"&gt;0")) + 1)</f>
        <v/>
      </c>
      <c r="N234" t="str">
        <f>IF(D234=0,"","Q"&amp;INT(4*( RANK(D234, IF($D$2:$D$269&lt;&gt;0, $D$2:$D$269), 0) - 1 ) / COUNTIF($D$2:$D$269,"&gt;0")) + 1)</f>
        <v/>
      </c>
      <c r="O234" t="str">
        <f>IF(E234=0,"","Q"&amp;INT(4*( RANK(E234, IF($E$2:$E$269&lt;&gt;0, $E$2:$E$269), 0) - 1 ) / COUNTIF($E$2:$E$269,"&gt;0")) + 1)</f>
        <v>Q2</v>
      </c>
      <c r="P234" t="str">
        <f>IF(F234=0,"","Q"&amp;INT(4*( RANK(F234, IF($F$2:$F$269&lt;&gt;0, $F$2:$F$269), 0) - 1 ) / COUNTIF($F$2:$F$269,"&gt;0")) + 1)</f>
        <v/>
      </c>
      <c r="Q234" t="str">
        <f>IF(G234=0,"","Q"&amp;INT(4*( RANK(G234, IF($G$2:$G$269&lt;&gt;0, $G$2:$G$269), 0) - 1 ) / COUNTIF($G$2:$G$269,"&gt;0")) + 1)</f>
        <v/>
      </c>
      <c r="R234" t="str">
        <f>IF(H234=0,"","Q"&amp;INT(4*( RANK(H234, IF($H$2:$H$269&lt;&gt;0, $H$2:$H$269), 0) - 1 ) / COUNTIF($H$2:$H$269,"&gt;0")) + 1)</f>
        <v/>
      </c>
      <c r="S234" t="str">
        <f>IF(I234=0,"","Q"&amp;INT(4*( RANK(I234, IF($I$2:$I$269&lt;&gt;0, $I$2:$I$269), 0) - 1 ) / COUNTIF($I$2:$I$269,"&gt;0")) + 1)</f>
        <v/>
      </c>
      <c r="T234" t="str">
        <f>IF(J234=0,"","Q"&amp;INT(4*( RANK(J234, IF($J$2:$J$269&lt;&gt;0, $J$2:$J$269), 0) - 1 ) / COUNTIF($J$2:$J$269,"&gt;0")) + 1)</f>
        <v/>
      </c>
      <c r="U234" t="str">
        <f>IF(K234=0,"","Q"&amp;INT(4*( RANK(K234, IF($K$2:$K$269&lt;&gt;0, $K$2:$K$269), 0) - 1 ) / COUNTIF($K$2:$K$269,"&gt;0")) + 1)</f>
        <v/>
      </c>
    </row>
    <row r="235" spans="1:21" x14ac:dyDescent="0.2">
      <c r="A235" t="s">
        <v>1016</v>
      </c>
      <c r="B235" s="2">
        <v>0</v>
      </c>
      <c r="C235" s="2">
        <v>0</v>
      </c>
      <c r="D235" s="2">
        <v>9.5238095238095205E-2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t="str">
        <f>IF(B235=0,"","Q"&amp;INT(4*( RANK(B235, IF($B$2:$B$269&lt;&gt;0, $B$2:$B$269), 0) - 1 ) / COUNTIF($B$2:$B$269,"&gt;0")) + 1)</f>
        <v/>
      </c>
      <c r="M235" t="str">
        <f>IF(C235=0,"","Q"&amp;INT(4*( RANK(C235, IF($C$2:$C$269&lt;&gt;0, $C$2:$C$269), 0) - 1 ) / COUNTIF($C$2:$C$269,"&gt;0")) + 1)</f>
        <v/>
      </c>
      <c r="N235" t="str">
        <f>IF(D235=0,"","Q"&amp;INT(4*( RANK(D235, IF($D$2:$D$269&lt;&gt;0, $D$2:$D$269), 0) - 1 ) / COUNTIF($D$2:$D$269,"&gt;0")) + 1)</f>
        <v>Q3</v>
      </c>
      <c r="O235" t="str">
        <f>IF(E235=0,"","Q"&amp;INT(4*( RANK(E235, IF($E$2:$E$269&lt;&gt;0, $E$2:$E$269), 0) - 1 ) / COUNTIF($E$2:$E$269,"&gt;0")) + 1)</f>
        <v/>
      </c>
      <c r="P235" t="str">
        <f>IF(F235=0,"","Q"&amp;INT(4*( RANK(F235, IF($F$2:$F$269&lt;&gt;0, $F$2:$F$269), 0) - 1 ) / COUNTIF($F$2:$F$269,"&gt;0")) + 1)</f>
        <v/>
      </c>
      <c r="Q235" t="str">
        <f>IF(G235=0,"","Q"&amp;INT(4*( RANK(G235, IF($G$2:$G$269&lt;&gt;0, $G$2:$G$269), 0) - 1 ) / COUNTIF($G$2:$G$269,"&gt;0")) + 1)</f>
        <v/>
      </c>
      <c r="R235" t="str">
        <f>IF(H235=0,"","Q"&amp;INT(4*( RANK(H235, IF($H$2:$H$269&lt;&gt;0, $H$2:$H$269), 0) - 1 ) / COUNTIF($H$2:$H$269,"&gt;0")) + 1)</f>
        <v/>
      </c>
      <c r="S235" t="str">
        <f>IF(I235=0,"","Q"&amp;INT(4*( RANK(I235, IF($I$2:$I$269&lt;&gt;0, $I$2:$I$269), 0) - 1 ) / COUNTIF($I$2:$I$269,"&gt;0")) + 1)</f>
        <v/>
      </c>
      <c r="T235" t="str">
        <f>IF(J235=0,"","Q"&amp;INT(4*( RANK(J235, IF($J$2:$J$269&lt;&gt;0, $J$2:$J$269), 0) - 1 ) / COUNTIF($J$2:$J$269,"&gt;0")) + 1)</f>
        <v/>
      </c>
      <c r="U235" t="str">
        <f>IF(K235=0,"","Q"&amp;INT(4*( RANK(K235, IF($K$2:$K$269&lt;&gt;0, $K$2:$K$269), 0) - 1 ) / COUNTIF($K$2:$K$269,"&gt;0")) + 1)</f>
        <v/>
      </c>
    </row>
    <row r="236" spans="1:21" x14ac:dyDescent="0.2">
      <c r="A236" t="s">
        <v>321</v>
      </c>
      <c r="B236" s="2">
        <v>0</v>
      </c>
      <c r="C236" s="2">
        <v>0</v>
      </c>
      <c r="D236" s="2">
        <v>0</v>
      </c>
      <c r="E236" s="2">
        <v>4.2016806722688996E-3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t="str">
        <f>IF(B236=0,"","Q"&amp;INT(4*( RANK(B236, IF($B$2:$B$269&lt;&gt;0, $B$2:$B$269), 0) - 1 ) / COUNTIF($B$2:$B$269,"&gt;0")) + 1)</f>
        <v/>
      </c>
      <c r="M236" t="str">
        <f>IF(C236=0,"","Q"&amp;INT(4*( RANK(C236, IF($C$2:$C$269&lt;&gt;0, $C$2:$C$269), 0) - 1 ) / COUNTIF($C$2:$C$269,"&gt;0")) + 1)</f>
        <v/>
      </c>
      <c r="N236" t="str">
        <f>IF(D236=0,"","Q"&amp;INT(4*( RANK(D236, IF($D$2:$D$269&lt;&gt;0, $D$2:$D$269), 0) - 1 ) / COUNTIF($D$2:$D$269,"&gt;0")) + 1)</f>
        <v/>
      </c>
      <c r="O236" t="str">
        <f>IF(E236=0,"","Q"&amp;INT(4*( RANK(E236, IF($E$2:$E$269&lt;&gt;0, $E$2:$E$269), 0) - 1 ) / COUNTIF($E$2:$E$269,"&gt;0")) + 1)</f>
        <v>Q4</v>
      </c>
      <c r="P236" t="str">
        <f>IF(F236=0,"","Q"&amp;INT(4*( RANK(F236, IF($F$2:$F$269&lt;&gt;0, $F$2:$F$269), 0) - 1 ) / COUNTIF($F$2:$F$269,"&gt;0")) + 1)</f>
        <v/>
      </c>
      <c r="Q236" t="str">
        <f>IF(G236=0,"","Q"&amp;INT(4*( RANK(G236, IF($G$2:$G$269&lt;&gt;0, $G$2:$G$269), 0) - 1 ) / COUNTIF($G$2:$G$269,"&gt;0")) + 1)</f>
        <v/>
      </c>
      <c r="R236" t="str">
        <f>IF(H236=0,"","Q"&amp;INT(4*( RANK(H236, IF($H$2:$H$269&lt;&gt;0, $H$2:$H$269), 0) - 1 ) / COUNTIF($H$2:$H$269,"&gt;0")) + 1)</f>
        <v/>
      </c>
      <c r="S236" t="str">
        <f>IF(I236=0,"","Q"&amp;INT(4*( RANK(I236, IF($I$2:$I$269&lt;&gt;0, $I$2:$I$269), 0) - 1 ) / COUNTIF($I$2:$I$269,"&gt;0")) + 1)</f>
        <v/>
      </c>
      <c r="T236" t="str">
        <f>IF(J236=0,"","Q"&amp;INT(4*( RANK(J236, IF($J$2:$J$269&lt;&gt;0, $J$2:$J$269), 0) - 1 ) / COUNTIF($J$2:$J$269,"&gt;0")) + 1)</f>
        <v/>
      </c>
      <c r="U236" t="str">
        <f>IF(K236=0,"","Q"&amp;INT(4*( RANK(K236, IF($K$2:$K$269&lt;&gt;0, $K$2:$K$269), 0) - 1 ) / COUNTIF($K$2:$K$269,"&gt;0")) + 1)</f>
        <v/>
      </c>
    </row>
    <row r="237" spans="1:21" x14ac:dyDescent="0.2">
      <c r="A237" t="s">
        <v>1017</v>
      </c>
      <c r="B237" s="2">
        <v>0</v>
      </c>
      <c r="C237" s="2">
        <v>0</v>
      </c>
      <c r="D237" s="2">
        <v>0</v>
      </c>
      <c r="E237" s="2">
        <v>1.6806722689075598E-2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t="str">
        <f>IF(B237=0,"","Q"&amp;INT(4*( RANK(B237, IF($B$2:$B$269&lt;&gt;0, $B$2:$B$269), 0) - 1 ) / COUNTIF($B$2:$B$269,"&gt;0")) + 1)</f>
        <v/>
      </c>
      <c r="M237" t="str">
        <f>IF(C237=0,"","Q"&amp;INT(4*( RANK(C237, IF($C$2:$C$269&lt;&gt;0, $C$2:$C$269), 0) - 1 ) / COUNTIF($C$2:$C$269,"&gt;0")) + 1)</f>
        <v/>
      </c>
      <c r="N237" t="str">
        <f>IF(D237=0,"","Q"&amp;INT(4*( RANK(D237, IF($D$2:$D$269&lt;&gt;0, $D$2:$D$269), 0) - 1 ) / COUNTIF($D$2:$D$269,"&gt;0")) + 1)</f>
        <v/>
      </c>
      <c r="O237" t="str">
        <f>IF(E237=0,"","Q"&amp;INT(4*( RANK(E237, IF($E$2:$E$269&lt;&gt;0, $E$2:$E$269), 0) - 1 ) / COUNTIF($E$2:$E$269,"&gt;0")) + 1)</f>
        <v>Q2</v>
      </c>
      <c r="P237" t="str">
        <f>IF(F237=0,"","Q"&amp;INT(4*( RANK(F237, IF($F$2:$F$269&lt;&gt;0, $F$2:$F$269), 0) - 1 ) / COUNTIF($F$2:$F$269,"&gt;0")) + 1)</f>
        <v/>
      </c>
      <c r="Q237" t="str">
        <f>IF(G237=0,"","Q"&amp;INT(4*( RANK(G237, IF($G$2:$G$269&lt;&gt;0, $G$2:$G$269), 0) - 1 ) / COUNTIF($G$2:$G$269,"&gt;0")) + 1)</f>
        <v/>
      </c>
      <c r="R237" t="str">
        <f>IF(H237=0,"","Q"&amp;INT(4*( RANK(H237, IF($H$2:$H$269&lt;&gt;0, $H$2:$H$269), 0) - 1 ) / COUNTIF($H$2:$H$269,"&gt;0")) + 1)</f>
        <v/>
      </c>
      <c r="S237" t="str">
        <f>IF(I237=0,"","Q"&amp;INT(4*( RANK(I237, IF($I$2:$I$269&lt;&gt;0, $I$2:$I$269), 0) - 1 ) / COUNTIF($I$2:$I$269,"&gt;0")) + 1)</f>
        <v/>
      </c>
      <c r="T237" t="str">
        <f>IF(J237=0,"","Q"&amp;INT(4*( RANK(J237, IF($J$2:$J$269&lt;&gt;0, $J$2:$J$269), 0) - 1 ) / COUNTIF($J$2:$J$269,"&gt;0")) + 1)</f>
        <v/>
      </c>
      <c r="U237" t="str">
        <f>IF(K237=0,"","Q"&amp;INT(4*( RANK(K237, IF($K$2:$K$269&lt;&gt;0, $K$2:$K$269), 0) - 1 ) / COUNTIF($K$2:$K$269,"&gt;0")) + 1)</f>
        <v/>
      </c>
    </row>
    <row r="238" spans="1:21" x14ac:dyDescent="0.2">
      <c r="A238" s="8" t="s">
        <v>319</v>
      </c>
      <c r="B238" s="2">
        <v>0</v>
      </c>
      <c r="C238" s="2">
        <v>0</v>
      </c>
      <c r="D238" s="2">
        <v>0</v>
      </c>
      <c r="E238" s="2">
        <v>2.1000000000000001E-2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t="str">
        <f>IF(B238=0,"","Q"&amp;INT(4*( RANK(B238, IF($B$2:$B$269&lt;&gt;0, $B$2:$B$269), 0) - 1 ) / COUNTIF($B$2:$B$269,"&gt;0")) + 1)</f>
        <v/>
      </c>
      <c r="M238" t="str">
        <f>IF(C238=0,"","Q"&amp;INT(4*( RANK(C238, IF($C$2:$C$269&lt;&gt;0, $C$2:$C$269), 0) - 1 ) / COUNTIF($C$2:$C$269,"&gt;0")) + 1)</f>
        <v/>
      </c>
      <c r="N238" t="str">
        <f>IF(D238=0,"","Q"&amp;INT(4*( RANK(D238, IF($D$2:$D$269&lt;&gt;0, $D$2:$D$269), 0) - 1 ) / COUNTIF($D$2:$D$269,"&gt;0")) + 1)</f>
        <v/>
      </c>
      <c r="O238" t="str">
        <f>IF(E238=0,"","Q"&amp;INT(4*( RANK(E238, IF($E$2:$E$269&lt;&gt;0, $E$2:$E$269), 0) - 1 ) / COUNTIF($E$2:$E$269,"&gt;0")) + 1)</f>
        <v>Q2</v>
      </c>
      <c r="P238" t="str">
        <f>IF(F238=0,"","Q"&amp;INT(4*( RANK(F238, IF($F$2:$F$269&lt;&gt;0, $F$2:$F$269), 0) - 1 ) / COUNTIF($F$2:$F$269,"&gt;0")) + 1)</f>
        <v/>
      </c>
      <c r="Q238" t="str">
        <f>IF(G238=0,"","Q"&amp;INT(4*( RANK(G238, IF($G$2:$G$269&lt;&gt;0, $G$2:$G$269), 0) - 1 ) / COUNTIF($G$2:$G$269,"&gt;0")) + 1)</f>
        <v>Q1</v>
      </c>
      <c r="R238" t="str">
        <f>IF(H238=0,"","Q"&amp;INT(4*( RANK(H238, IF($H$2:$H$269&lt;&gt;0, $H$2:$H$269), 0) - 1 ) / COUNTIF($H$2:$H$269,"&gt;0")) + 1)</f>
        <v/>
      </c>
      <c r="S238" t="str">
        <f>IF(I238=0,"","Q"&amp;INT(4*( RANK(I238, IF($I$2:$I$269&lt;&gt;0, $I$2:$I$269), 0) - 1 ) / COUNTIF($I$2:$I$269,"&gt;0")) + 1)</f>
        <v/>
      </c>
      <c r="T238" t="str">
        <f>IF(J238=0,"","Q"&amp;INT(4*( RANK(J238, IF($J$2:$J$269&lt;&gt;0, $J$2:$J$269), 0) - 1 ) / COUNTIF($J$2:$J$269,"&gt;0")) + 1)</f>
        <v/>
      </c>
      <c r="U238" t="str">
        <f>IF(K238=0,"","Q"&amp;INT(4*( RANK(K238, IF($K$2:$K$269&lt;&gt;0, $K$2:$K$269), 0) - 1 ) / COUNTIF($K$2:$K$269,"&gt;0")) + 1)</f>
        <v/>
      </c>
    </row>
    <row r="239" spans="1:21" x14ac:dyDescent="0.2">
      <c r="A239" t="s">
        <v>320</v>
      </c>
      <c r="B239" s="2">
        <v>0</v>
      </c>
      <c r="C239" s="2">
        <v>0</v>
      </c>
      <c r="D239" s="2">
        <v>0</v>
      </c>
      <c r="E239" s="2">
        <v>0</v>
      </c>
      <c r="F239" s="2">
        <v>3.8461538461538401E-2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t="str">
        <f>IF(B239=0,"","Q"&amp;INT(4*( RANK(B239, IF($B$2:$B$269&lt;&gt;0, $B$2:$B$269), 0) - 1 ) / COUNTIF($B$2:$B$269,"&gt;0")) + 1)</f>
        <v/>
      </c>
      <c r="M239" t="str">
        <f>IF(C239=0,"","Q"&amp;INT(4*( RANK(C239, IF($C$2:$C$269&lt;&gt;0, $C$2:$C$269), 0) - 1 ) / COUNTIF($C$2:$C$269,"&gt;0")) + 1)</f>
        <v/>
      </c>
      <c r="N239" t="str">
        <f>IF(D239=0,"","Q"&amp;INT(4*( RANK(D239, IF($D$2:$D$269&lt;&gt;0, $D$2:$D$269), 0) - 1 ) / COUNTIF($D$2:$D$269,"&gt;0")) + 1)</f>
        <v/>
      </c>
      <c r="O239" t="str">
        <f>IF(E239=0,"","Q"&amp;INT(4*( RANK(E239, IF($E$2:$E$269&lt;&gt;0, $E$2:$E$269), 0) - 1 ) / COUNTIF($E$2:$E$269,"&gt;0")) + 1)</f>
        <v/>
      </c>
      <c r="P239" t="str">
        <f>IF(F239=0,"","Q"&amp;INT(4*( RANK(F239, IF($F$2:$F$269&lt;&gt;0, $F$2:$F$269), 0) - 1 ) / COUNTIF($F$2:$F$269,"&gt;0")) + 1)</f>
        <v>Q4</v>
      </c>
      <c r="Q239" t="str">
        <f>IF(G239=0,"","Q"&amp;INT(4*( RANK(G239, IF($G$2:$G$269&lt;&gt;0, $G$2:$G$269), 0) - 1 ) / COUNTIF($G$2:$G$269,"&gt;0")) + 1)</f>
        <v/>
      </c>
      <c r="R239" t="str">
        <f>IF(H239=0,"","Q"&amp;INT(4*( RANK(H239, IF($H$2:$H$269&lt;&gt;0, $H$2:$H$269), 0) - 1 ) / COUNTIF($H$2:$H$269,"&gt;0")) + 1)</f>
        <v/>
      </c>
      <c r="S239" t="str">
        <f>IF(I239=0,"","Q"&amp;INT(4*( RANK(I239, IF($I$2:$I$269&lt;&gt;0, $I$2:$I$269), 0) - 1 ) / COUNTIF($I$2:$I$269,"&gt;0")) + 1)</f>
        <v/>
      </c>
      <c r="T239" t="str">
        <f>IF(J239=0,"","Q"&amp;INT(4*( RANK(J239, IF($J$2:$J$269&lt;&gt;0, $J$2:$J$269), 0) - 1 ) / COUNTIF($J$2:$J$269,"&gt;0")) + 1)</f>
        <v/>
      </c>
      <c r="U239" t="str">
        <f>IF(K239=0,"","Q"&amp;INT(4*( RANK(K239, IF($K$2:$K$269&lt;&gt;0, $K$2:$K$269), 0) - 1 ) / COUNTIF($K$2:$K$269,"&gt;0")) + 1)</f>
        <v/>
      </c>
    </row>
    <row r="240" spans="1:21" x14ac:dyDescent="0.2">
      <c r="A240" t="s">
        <v>321</v>
      </c>
      <c r="B240" s="2">
        <v>0</v>
      </c>
      <c r="C240" s="2">
        <v>0</v>
      </c>
      <c r="D240" s="2">
        <v>0</v>
      </c>
      <c r="E240" s="2">
        <v>4.2016806722688996E-3</v>
      </c>
      <c r="F240" s="2">
        <v>3.8461538461538401E-2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t="str">
        <f>IF(B240=0,"","Q"&amp;INT(4*( RANK(B240, IF($B$2:$B$269&lt;&gt;0, $B$2:$B$269), 0) - 1 ) / COUNTIF($B$2:$B$269,"&gt;0")) + 1)</f>
        <v/>
      </c>
      <c r="M240" t="str">
        <f>IF(C240=0,"","Q"&amp;INT(4*( RANK(C240, IF($C$2:$C$269&lt;&gt;0, $C$2:$C$269), 0) - 1 ) / COUNTIF($C$2:$C$269,"&gt;0")) + 1)</f>
        <v/>
      </c>
      <c r="N240" t="str">
        <f>IF(D240=0,"","Q"&amp;INT(4*( RANK(D240, IF($D$2:$D$269&lt;&gt;0, $D$2:$D$269), 0) - 1 ) / COUNTIF($D$2:$D$269,"&gt;0")) + 1)</f>
        <v/>
      </c>
      <c r="O240" t="str">
        <f>IF(E240=0,"","Q"&amp;INT(4*( RANK(E240, IF($E$2:$E$269&lt;&gt;0, $E$2:$E$269), 0) - 1 ) / COUNTIF($E$2:$E$269,"&gt;0")) + 1)</f>
        <v>Q4</v>
      </c>
      <c r="P240" t="str">
        <f>IF(F240=0,"","Q"&amp;INT(4*( RANK(F240, IF($F$2:$F$269&lt;&gt;0, $F$2:$F$269), 0) - 1 ) / COUNTIF($F$2:$F$269,"&gt;0")) + 1)</f>
        <v>Q4</v>
      </c>
      <c r="Q240" t="str">
        <f>IF(G240=0,"","Q"&amp;INT(4*( RANK(G240, IF($G$2:$G$269&lt;&gt;0, $G$2:$G$269), 0) - 1 ) / COUNTIF($G$2:$G$269,"&gt;0")) + 1)</f>
        <v/>
      </c>
      <c r="R240" t="str">
        <f>IF(H240=0,"","Q"&amp;INT(4*( RANK(H240, IF($H$2:$H$269&lt;&gt;0, $H$2:$H$269), 0) - 1 ) / COUNTIF($H$2:$H$269,"&gt;0")) + 1)</f>
        <v/>
      </c>
      <c r="S240" t="str">
        <f>IF(I240=0,"","Q"&amp;INT(4*( RANK(I240, IF($I$2:$I$269&lt;&gt;0, $I$2:$I$269), 0) - 1 ) / COUNTIF($I$2:$I$269,"&gt;0")) + 1)</f>
        <v/>
      </c>
      <c r="T240" t="str">
        <f>IF(J240=0,"","Q"&amp;INT(4*( RANK(J240, IF($J$2:$J$269&lt;&gt;0, $J$2:$J$269), 0) - 1 ) / COUNTIF($J$2:$J$269,"&gt;0")) + 1)</f>
        <v/>
      </c>
      <c r="U240" t="str">
        <f>IF(K240=0,"","Q"&amp;INT(4*( RANK(K240, IF($K$2:$K$269&lt;&gt;0, $K$2:$K$269), 0) - 1 ) / COUNTIF($K$2:$K$269,"&gt;0")) + 1)</f>
        <v/>
      </c>
    </row>
    <row r="241" spans="1:21" x14ac:dyDescent="0.2">
      <c r="A241" s="8" t="s">
        <v>325</v>
      </c>
      <c r="B241" s="2">
        <v>0</v>
      </c>
      <c r="C241" s="2">
        <v>0</v>
      </c>
      <c r="D241" s="2">
        <v>0</v>
      </c>
      <c r="E241" s="2">
        <v>6.7000000000000004E-2</v>
      </c>
      <c r="F241" s="2">
        <v>0</v>
      </c>
      <c r="G241" s="2">
        <v>0</v>
      </c>
      <c r="H241" s="2">
        <v>0</v>
      </c>
      <c r="I241" s="2">
        <v>0</v>
      </c>
      <c r="J241" s="2">
        <v>0.25600000000000001</v>
      </c>
      <c r="K241" s="2">
        <v>0</v>
      </c>
      <c r="L241" t="str">
        <f>IF(B241=0,"","Q"&amp;INT(4*( RANK(B241, IF($B$2:$B$269&lt;&gt;0, $B$2:$B$269), 0) - 1 ) / COUNTIF($B$2:$B$269,"&gt;0")) + 1)</f>
        <v/>
      </c>
      <c r="M241" t="str">
        <f>IF(C241=0,"","Q"&amp;INT(4*( RANK(C241, IF($C$2:$C$269&lt;&gt;0, $C$2:$C$269), 0) - 1 ) / COUNTIF($C$2:$C$269,"&gt;0")) + 1)</f>
        <v/>
      </c>
      <c r="N241" t="str">
        <f>IF(D241=0,"","Q"&amp;INT(4*( RANK(D241, IF($D$2:$D$269&lt;&gt;0, $D$2:$D$269), 0) - 1 ) / COUNTIF($D$2:$D$269,"&gt;0")) + 1)</f>
        <v/>
      </c>
      <c r="O241" t="str">
        <f>IF(E241=0,"","Q"&amp;INT(4*( RANK(E241, IF($E$2:$E$269&lt;&gt;0, $E$2:$E$269), 0) - 1 ) / COUNTIF($E$2:$E$269,"&gt;0")) + 1)</f>
        <v>Q1</v>
      </c>
      <c r="P241" t="str">
        <f>IF(F241=0,"","Q"&amp;INT(4*( RANK(F241, IF($F$2:$F$269&lt;&gt;0, $F$2:$F$269), 0) - 1 ) / COUNTIF($F$2:$F$269,"&gt;0")) + 1)</f>
        <v/>
      </c>
      <c r="Q241" t="str">
        <f>IF(G241=0,"","Q"&amp;INT(4*( RANK(G241, IF($G$2:$G$269&lt;&gt;0, $G$2:$G$269), 0) - 1 ) / COUNTIF($G$2:$G$269,"&gt;0")) + 1)</f>
        <v/>
      </c>
      <c r="R241" t="str">
        <f>IF(H241=0,"","Q"&amp;INT(4*( RANK(H241, IF($H$2:$H$269&lt;&gt;0, $H$2:$H$269), 0) - 1 ) / COUNTIF($H$2:$H$269,"&gt;0")) + 1)</f>
        <v/>
      </c>
      <c r="S241" t="str">
        <f>IF(I241=0,"","Q"&amp;INT(4*( RANK(I241, IF($I$2:$I$269&lt;&gt;0, $I$2:$I$269), 0) - 1 ) / COUNTIF($I$2:$I$269,"&gt;0")) + 1)</f>
        <v/>
      </c>
      <c r="T241" t="str">
        <f>IF(J241=0,"","Q"&amp;INT(4*( RANK(J241, IF($J$2:$J$269&lt;&gt;0, $J$2:$J$269), 0) - 1 ) / COUNTIF($J$2:$J$269,"&gt;0")) + 1)</f>
        <v>Q1</v>
      </c>
      <c r="U241" t="str">
        <f>IF(K241=0,"","Q"&amp;INT(4*( RANK(K241, IF($K$2:$K$269&lt;&gt;0, $K$2:$K$269), 0) - 1 ) / COUNTIF($K$2:$K$269,"&gt;0")) + 1)</f>
        <v/>
      </c>
    </row>
    <row r="242" spans="1:21" x14ac:dyDescent="0.2">
      <c r="A242" s="8" t="s">
        <v>326</v>
      </c>
      <c r="B242" s="2">
        <v>0</v>
      </c>
      <c r="C242" s="2">
        <v>0</v>
      </c>
      <c r="D242" s="2">
        <v>0</v>
      </c>
      <c r="E242" s="2">
        <v>8.7999999999999995E-2</v>
      </c>
      <c r="F242" s="2">
        <v>0</v>
      </c>
      <c r="G242" s="2">
        <v>0</v>
      </c>
      <c r="H242" s="2">
        <v>0</v>
      </c>
      <c r="I242" s="2">
        <v>0</v>
      </c>
      <c r="J242" s="2">
        <v>9.2999999999999999E-2</v>
      </c>
      <c r="K242" s="2">
        <v>0</v>
      </c>
      <c r="L242" t="str">
        <f>IF(B242=0,"","Q"&amp;INT(4*( RANK(B242, IF($B$2:$B$269&lt;&gt;0, $B$2:$B$269), 0) - 1 ) / COUNTIF($B$2:$B$269,"&gt;0")) + 1)</f>
        <v/>
      </c>
      <c r="M242" t="str">
        <f>IF(C242=0,"","Q"&amp;INT(4*( RANK(C242, IF($C$2:$C$269&lt;&gt;0, $C$2:$C$269), 0) - 1 ) / COUNTIF($C$2:$C$269,"&gt;0")) + 1)</f>
        <v/>
      </c>
      <c r="N242" t="str">
        <f>IF(D242=0,"","Q"&amp;INT(4*( RANK(D242, IF($D$2:$D$269&lt;&gt;0, $D$2:$D$269), 0) - 1 ) / COUNTIF($D$2:$D$269,"&gt;0")) + 1)</f>
        <v/>
      </c>
      <c r="O242" t="str">
        <f>IF(E242=0,"","Q"&amp;INT(4*( RANK(E242, IF($E$2:$E$269&lt;&gt;0, $E$2:$E$269), 0) - 1 ) / COUNTIF($E$2:$E$269,"&gt;0")) + 1)</f>
        <v>Q1</v>
      </c>
      <c r="P242" t="str">
        <f>IF(F242=0,"","Q"&amp;INT(4*( RANK(F242, IF($F$2:$F$269&lt;&gt;0, $F$2:$F$269), 0) - 1 ) / COUNTIF($F$2:$F$269,"&gt;0")) + 1)</f>
        <v/>
      </c>
      <c r="Q242" t="str">
        <f>IF(G242=0,"","Q"&amp;INT(4*( RANK(G242, IF($G$2:$G$269&lt;&gt;0, $G$2:$G$269), 0) - 1 ) / COUNTIF($G$2:$G$269,"&gt;0")) + 1)</f>
        <v/>
      </c>
      <c r="R242" t="str">
        <f>IF(H242=0,"","Q"&amp;INT(4*( RANK(H242, IF($H$2:$H$269&lt;&gt;0, $H$2:$H$269), 0) - 1 ) / COUNTIF($H$2:$H$269,"&gt;0")) + 1)</f>
        <v/>
      </c>
      <c r="S242" t="str">
        <f>IF(I242=0,"","Q"&amp;INT(4*( RANK(I242, IF($I$2:$I$269&lt;&gt;0, $I$2:$I$269), 0) - 1 ) / COUNTIF($I$2:$I$269,"&gt;0")) + 1)</f>
        <v/>
      </c>
      <c r="T242" t="str">
        <f>IF(J242=0,"","Q"&amp;INT(4*( RANK(J242, IF($J$2:$J$269&lt;&gt;0, $J$2:$J$269), 0) - 1 ) / COUNTIF($J$2:$J$269,"&gt;0")) + 1)</f>
        <v>Q3</v>
      </c>
      <c r="U242" t="str">
        <f>IF(K242=0,"","Q"&amp;INT(4*( RANK(K242, IF($K$2:$K$269&lt;&gt;0, $K$2:$K$269), 0) - 1 ) / COUNTIF($K$2:$K$269,"&gt;0")) + 1)</f>
        <v/>
      </c>
    </row>
    <row r="243" spans="1:21" x14ac:dyDescent="0.2">
      <c r="A243" t="s">
        <v>327</v>
      </c>
      <c r="B243" s="2">
        <v>0</v>
      </c>
      <c r="C243" s="2">
        <v>0</v>
      </c>
      <c r="D243" s="2">
        <v>0</v>
      </c>
      <c r="E243" s="2">
        <v>4.2016806722688996E-3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t="str">
        <f>IF(B243=0,"","Q"&amp;INT(4*( RANK(B243, IF($B$2:$B$269&lt;&gt;0, $B$2:$B$269), 0) - 1 ) / COUNTIF($B$2:$B$269,"&gt;0")) + 1)</f>
        <v/>
      </c>
      <c r="M243" t="str">
        <f>IF(C243=0,"","Q"&amp;INT(4*( RANK(C243, IF($C$2:$C$269&lt;&gt;0, $C$2:$C$269), 0) - 1 ) / COUNTIF($C$2:$C$269,"&gt;0")) + 1)</f>
        <v/>
      </c>
      <c r="N243" t="str">
        <f>IF(D243=0,"","Q"&amp;INT(4*( RANK(D243, IF($D$2:$D$269&lt;&gt;0, $D$2:$D$269), 0) - 1 ) / COUNTIF($D$2:$D$269,"&gt;0")) + 1)</f>
        <v/>
      </c>
      <c r="O243" t="str">
        <f>IF(E243=0,"","Q"&amp;INT(4*( RANK(E243, IF($E$2:$E$269&lt;&gt;0, $E$2:$E$269), 0) - 1 ) / COUNTIF($E$2:$E$269,"&gt;0")) + 1)</f>
        <v>Q4</v>
      </c>
      <c r="P243" t="str">
        <f>IF(F243=0,"","Q"&amp;INT(4*( RANK(F243, IF($F$2:$F$269&lt;&gt;0, $F$2:$F$269), 0) - 1 ) / COUNTIF($F$2:$F$269,"&gt;0")) + 1)</f>
        <v/>
      </c>
      <c r="Q243" t="str">
        <f>IF(G243=0,"","Q"&amp;INT(4*( RANK(G243, IF($G$2:$G$269&lt;&gt;0, $G$2:$G$269), 0) - 1 ) / COUNTIF($G$2:$G$269,"&gt;0")) + 1)</f>
        <v/>
      </c>
      <c r="R243" t="str">
        <f>IF(H243=0,"","Q"&amp;INT(4*( RANK(H243, IF($H$2:$H$269&lt;&gt;0, $H$2:$H$269), 0) - 1 ) / COUNTIF($H$2:$H$269,"&gt;0")) + 1)</f>
        <v/>
      </c>
      <c r="S243" t="str">
        <f>IF(I243=0,"","Q"&amp;INT(4*( RANK(I243, IF($I$2:$I$269&lt;&gt;0, $I$2:$I$269), 0) - 1 ) / COUNTIF($I$2:$I$269,"&gt;0")) + 1)</f>
        <v/>
      </c>
      <c r="T243" t="str">
        <f>IF(J243=0,"","Q"&amp;INT(4*( RANK(J243, IF($J$2:$J$269&lt;&gt;0, $J$2:$J$269), 0) - 1 ) / COUNTIF($J$2:$J$269,"&gt;0")) + 1)</f>
        <v/>
      </c>
      <c r="U243" t="str">
        <f>IF(K243=0,"","Q"&amp;INT(4*( RANK(K243, IF($K$2:$K$269&lt;&gt;0, $K$2:$K$269), 0) - 1 ) / COUNTIF($K$2:$K$269,"&gt;0")) + 1)</f>
        <v/>
      </c>
    </row>
    <row r="244" spans="1:21" x14ac:dyDescent="0.2">
      <c r="A244" t="s">
        <v>1018</v>
      </c>
      <c r="B244" s="2">
        <v>0</v>
      </c>
      <c r="C244" s="2">
        <v>0</v>
      </c>
      <c r="D244" s="2">
        <v>0</v>
      </c>
      <c r="E244" s="2">
        <v>4.2016806722688996E-3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t="str">
        <f>IF(B244=0,"","Q"&amp;INT(4*( RANK(B244, IF($B$2:$B$269&lt;&gt;0, $B$2:$B$269), 0) - 1 ) / COUNTIF($B$2:$B$269,"&gt;0")) + 1)</f>
        <v/>
      </c>
      <c r="M244" t="str">
        <f>IF(C244=0,"","Q"&amp;INT(4*( RANK(C244, IF($C$2:$C$269&lt;&gt;0, $C$2:$C$269), 0) - 1 ) / COUNTIF($C$2:$C$269,"&gt;0")) + 1)</f>
        <v/>
      </c>
      <c r="N244" t="str">
        <f>IF(D244=0,"","Q"&amp;INT(4*( RANK(D244, IF($D$2:$D$269&lt;&gt;0, $D$2:$D$269), 0) - 1 ) / COUNTIF($D$2:$D$269,"&gt;0")) + 1)</f>
        <v/>
      </c>
      <c r="O244" t="str">
        <f>IF(E244=0,"","Q"&amp;INT(4*( RANK(E244, IF($E$2:$E$269&lt;&gt;0, $E$2:$E$269), 0) - 1 ) / COUNTIF($E$2:$E$269,"&gt;0")) + 1)</f>
        <v>Q4</v>
      </c>
      <c r="P244" t="str">
        <f>IF(F244=0,"","Q"&amp;INT(4*( RANK(F244, IF($F$2:$F$269&lt;&gt;0, $F$2:$F$269), 0) - 1 ) / COUNTIF($F$2:$F$269,"&gt;0")) + 1)</f>
        <v/>
      </c>
      <c r="Q244" t="str">
        <f>IF(G244=0,"","Q"&amp;INT(4*( RANK(G244, IF($G$2:$G$269&lt;&gt;0, $G$2:$G$269), 0) - 1 ) / COUNTIF($G$2:$G$269,"&gt;0")) + 1)</f>
        <v/>
      </c>
      <c r="R244" t="str">
        <f>IF(H244=0,"","Q"&amp;INT(4*( RANK(H244, IF($H$2:$H$269&lt;&gt;0, $H$2:$H$269), 0) - 1 ) / COUNTIF($H$2:$H$269,"&gt;0")) + 1)</f>
        <v/>
      </c>
      <c r="S244" t="str">
        <f>IF(I244=0,"","Q"&amp;INT(4*( RANK(I244, IF($I$2:$I$269&lt;&gt;0, $I$2:$I$269), 0) - 1 ) / COUNTIF($I$2:$I$269,"&gt;0")) + 1)</f>
        <v/>
      </c>
      <c r="T244" t="str">
        <f>IF(J244=0,"","Q"&amp;INT(4*( RANK(J244, IF($J$2:$J$269&lt;&gt;0, $J$2:$J$269), 0) - 1 ) / COUNTIF($J$2:$J$269,"&gt;0")) + 1)</f>
        <v/>
      </c>
      <c r="U244" t="str">
        <f>IF(K244=0,"","Q"&amp;INT(4*( RANK(K244, IF($K$2:$K$269&lt;&gt;0, $K$2:$K$269), 0) - 1 ) / COUNTIF($K$2:$K$269,"&gt;0")) + 1)</f>
        <v/>
      </c>
    </row>
    <row r="245" spans="1:21" x14ac:dyDescent="0.2">
      <c r="A245" t="s">
        <v>1019</v>
      </c>
      <c r="B245" s="2">
        <v>0</v>
      </c>
      <c r="C245" s="2">
        <v>0</v>
      </c>
      <c r="D245" s="2">
        <v>0</v>
      </c>
      <c r="E245" s="2">
        <v>1.6806722689075598E-2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t="str">
        <f>IF(B245=0,"","Q"&amp;INT(4*( RANK(B245, IF($B$2:$B$269&lt;&gt;0, $B$2:$B$269), 0) - 1 ) / COUNTIF($B$2:$B$269,"&gt;0")) + 1)</f>
        <v/>
      </c>
      <c r="M245" t="str">
        <f>IF(C245=0,"","Q"&amp;INT(4*( RANK(C245, IF($C$2:$C$269&lt;&gt;0, $C$2:$C$269), 0) - 1 ) / COUNTIF($C$2:$C$269,"&gt;0")) + 1)</f>
        <v/>
      </c>
      <c r="N245" t="str">
        <f>IF(D245=0,"","Q"&amp;INT(4*( RANK(D245, IF($D$2:$D$269&lt;&gt;0, $D$2:$D$269), 0) - 1 ) / COUNTIF($D$2:$D$269,"&gt;0")) + 1)</f>
        <v/>
      </c>
      <c r="O245" t="str">
        <f>IF(E245=0,"","Q"&amp;INT(4*( RANK(E245, IF($E$2:$E$269&lt;&gt;0, $E$2:$E$269), 0) - 1 ) / COUNTIF($E$2:$E$269,"&gt;0")) + 1)</f>
        <v>Q2</v>
      </c>
      <c r="P245" t="str">
        <f>IF(F245=0,"","Q"&amp;INT(4*( RANK(F245, IF($F$2:$F$269&lt;&gt;0, $F$2:$F$269), 0) - 1 ) / COUNTIF($F$2:$F$269,"&gt;0")) + 1)</f>
        <v/>
      </c>
      <c r="Q245" t="str">
        <f>IF(G245=0,"","Q"&amp;INT(4*( RANK(G245, IF($G$2:$G$269&lt;&gt;0, $G$2:$G$269), 0) - 1 ) / COUNTIF($G$2:$G$269,"&gt;0")) + 1)</f>
        <v/>
      </c>
      <c r="R245" t="str">
        <f>IF(H245=0,"","Q"&amp;INT(4*( RANK(H245, IF($H$2:$H$269&lt;&gt;0, $H$2:$H$269), 0) - 1 ) / COUNTIF($H$2:$H$269,"&gt;0")) + 1)</f>
        <v/>
      </c>
      <c r="S245" t="str">
        <f>IF(I245=0,"","Q"&amp;INT(4*( RANK(I245, IF($I$2:$I$269&lt;&gt;0, $I$2:$I$269), 0) - 1 ) / COUNTIF($I$2:$I$269,"&gt;0")) + 1)</f>
        <v/>
      </c>
      <c r="T245" t="str">
        <f>IF(J245=0,"","Q"&amp;INT(4*( RANK(J245, IF($J$2:$J$269&lt;&gt;0, $J$2:$J$269), 0) - 1 ) / COUNTIF($J$2:$J$269,"&gt;0")) + 1)</f>
        <v/>
      </c>
      <c r="U245" t="str">
        <f>IF(K245=0,"","Q"&amp;INT(4*( RANK(K245, IF($K$2:$K$269&lt;&gt;0, $K$2:$K$269), 0) - 1 ) / COUNTIF($K$2:$K$269,"&gt;0")) + 1)</f>
        <v/>
      </c>
    </row>
    <row r="246" spans="1:21" x14ac:dyDescent="0.2">
      <c r="A246" t="s">
        <v>1020</v>
      </c>
      <c r="B246" s="2">
        <v>0</v>
      </c>
      <c r="C246" s="2">
        <v>0</v>
      </c>
      <c r="D246" s="2">
        <v>0</v>
      </c>
      <c r="E246" s="2">
        <v>8.4033613445378096E-3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t="str">
        <f>IF(B246=0,"","Q"&amp;INT(4*( RANK(B246, IF($B$2:$B$269&lt;&gt;0, $B$2:$B$269), 0) - 1 ) / COUNTIF($B$2:$B$269,"&gt;0")) + 1)</f>
        <v/>
      </c>
      <c r="M246" t="str">
        <f>IF(C246=0,"","Q"&amp;INT(4*( RANK(C246, IF($C$2:$C$269&lt;&gt;0, $C$2:$C$269), 0) - 1 ) / COUNTIF($C$2:$C$269,"&gt;0")) + 1)</f>
        <v/>
      </c>
      <c r="N246" t="str">
        <f>IF(D246=0,"","Q"&amp;INT(4*( RANK(D246, IF($D$2:$D$269&lt;&gt;0, $D$2:$D$269), 0) - 1 ) / COUNTIF($D$2:$D$269,"&gt;0")) + 1)</f>
        <v/>
      </c>
      <c r="O246" t="str">
        <f>IF(E246=0,"","Q"&amp;INT(4*( RANK(E246, IF($E$2:$E$269&lt;&gt;0, $E$2:$E$269), 0) - 1 ) / COUNTIF($E$2:$E$269,"&gt;0")) + 1)</f>
        <v>Q3</v>
      </c>
      <c r="P246" t="str">
        <f>IF(F246=0,"","Q"&amp;INT(4*( RANK(F246, IF($F$2:$F$269&lt;&gt;0, $F$2:$F$269), 0) - 1 ) / COUNTIF($F$2:$F$269,"&gt;0")) + 1)</f>
        <v/>
      </c>
      <c r="Q246" t="str">
        <f>IF(G246=0,"","Q"&amp;INT(4*( RANK(G246, IF($G$2:$G$269&lt;&gt;0, $G$2:$G$269), 0) - 1 ) / COUNTIF($G$2:$G$269,"&gt;0")) + 1)</f>
        <v/>
      </c>
      <c r="R246" t="str">
        <f>IF(H246=0,"","Q"&amp;INT(4*( RANK(H246, IF($H$2:$H$269&lt;&gt;0, $H$2:$H$269), 0) - 1 ) / COUNTIF($H$2:$H$269,"&gt;0")) + 1)</f>
        <v/>
      </c>
      <c r="S246" t="str">
        <f>IF(I246=0,"","Q"&amp;INT(4*( RANK(I246, IF($I$2:$I$269&lt;&gt;0, $I$2:$I$269), 0) - 1 ) / COUNTIF($I$2:$I$269,"&gt;0")) + 1)</f>
        <v/>
      </c>
      <c r="T246" t="str">
        <f>IF(J246=0,"","Q"&amp;INT(4*( RANK(J246, IF($J$2:$J$269&lt;&gt;0, $J$2:$J$269), 0) - 1 ) / COUNTIF($J$2:$J$269,"&gt;0")) + 1)</f>
        <v/>
      </c>
      <c r="U246" t="str">
        <f>IF(K246=0,"","Q"&amp;INT(4*( RANK(K246, IF($K$2:$K$269&lt;&gt;0, $K$2:$K$269), 0) - 1 ) / COUNTIF($K$2:$K$269,"&gt;0")) + 1)</f>
        <v/>
      </c>
    </row>
    <row r="247" spans="1:21" x14ac:dyDescent="0.2">
      <c r="A247" t="s">
        <v>331</v>
      </c>
      <c r="B247" s="2">
        <v>0</v>
      </c>
      <c r="C247" s="2">
        <v>0</v>
      </c>
      <c r="D247" s="2">
        <v>0</v>
      </c>
      <c r="E247" s="2">
        <v>4.2016806722688996E-3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t="str">
        <f>IF(B247=0,"","Q"&amp;INT(4*( RANK(B247, IF($B$2:$B$269&lt;&gt;0, $B$2:$B$269), 0) - 1 ) / COUNTIF($B$2:$B$269,"&gt;0")) + 1)</f>
        <v/>
      </c>
      <c r="M247" t="str">
        <f>IF(C247=0,"","Q"&amp;INT(4*( RANK(C247, IF($C$2:$C$269&lt;&gt;0, $C$2:$C$269), 0) - 1 ) / COUNTIF($C$2:$C$269,"&gt;0")) + 1)</f>
        <v/>
      </c>
      <c r="N247" t="str">
        <f>IF(D247=0,"","Q"&amp;INT(4*( RANK(D247, IF($D$2:$D$269&lt;&gt;0, $D$2:$D$269), 0) - 1 ) / COUNTIF($D$2:$D$269,"&gt;0")) + 1)</f>
        <v/>
      </c>
      <c r="O247" t="str">
        <f>IF(E247=0,"","Q"&amp;INT(4*( RANK(E247, IF($E$2:$E$269&lt;&gt;0, $E$2:$E$269), 0) - 1 ) / COUNTIF($E$2:$E$269,"&gt;0")) + 1)</f>
        <v>Q4</v>
      </c>
      <c r="P247" t="str">
        <f>IF(F247=0,"","Q"&amp;INT(4*( RANK(F247, IF($F$2:$F$269&lt;&gt;0, $F$2:$F$269), 0) - 1 ) / COUNTIF($F$2:$F$269,"&gt;0")) + 1)</f>
        <v/>
      </c>
      <c r="Q247" t="str">
        <f>IF(G247=0,"","Q"&amp;INT(4*( RANK(G247, IF($G$2:$G$269&lt;&gt;0, $G$2:$G$269), 0) - 1 ) / COUNTIF($G$2:$G$269,"&gt;0")) + 1)</f>
        <v/>
      </c>
      <c r="R247" t="str">
        <f>IF(H247=0,"","Q"&amp;INT(4*( RANK(H247, IF($H$2:$H$269&lt;&gt;0, $H$2:$H$269), 0) - 1 ) / COUNTIF($H$2:$H$269,"&gt;0")) + 1)</f>
        <v/>
      </c>
      <c r="S247" t="str">
        <f>IF(I247=0,"","Q"&amp;INT(4*( RANK(I247, IF($I$2:$I$269&lt;&gt;0, $I$2:$I$269), 0) - 1 ) / COUNTIF($I$2:$I$269,"&gt;0")) + 1)</f>
        <v/>
      </c>
      <c r="T247" t="str">
        <f>IF(J247=0,"","Q"&amp;INT(4*( RANK(J247, IF($J$2:$J$269&lt;&gt;0, $J$2:$J$269), 0) - 1 ) / COUNTIF($J$2:$J$269,"&gt;0")) + 1)</f>
        <v/>
      </c>
      <c r="U247" t="str">
        <f>IF(K247=0,"","Q"&amp;INT(4*( RANK(K247, IF($K$2:$K$269&lt;&gt;0, $K$2:$K$269), 0) - 1 ) / COUNTIF($K$2:$K$269,"&gt;0")) + 1)</f>
        <v/>
      </c>
    </row>
    <row r="248" spans="1:21" x14ac:dyDescent="0.2">
      <c r="A248" t="s">
        <v>1021</v>
      </c>
      <c r="B248" s="2">
        <v>0</v>
      </c>
      <c r="C248" s="2">
        <v>0</v>
      </c>
      <c r="D248" s="2">
        <v>0</v>
      </c>
      <c r="E248" s="2">
        <v>8.4033613445378096E-3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t="str">
        <f>IF(B248=0,"","Q"&amp;INT(4*( RANK(B248, IF($B$2:$B$269&lt;&gt;0, $B$2:$B$269), 0) - 1 ) / COUNTIF($B$2:$B$269,"&gt;0")) + 1)</f>
        <v/>
      </c>
      <c r="M248" t="str">
        <f>IF(C248=0,"","Q"&amp;INT(4*( RANK(C248, IF($C$2:$C$269&lt;&gt;0, $C$2:$C$269), 0) - 1 ) / COUNTIF($C$2:$C$269,"&gt;0")) + 1)</f>
        <v/>
      </c>
      <c r="N248" t="str">
        <f>IF(D248=0,"","Q"&amp;INT(4*( RANK(D248, IF($D$2:$D$269&lt;&gt;0, $D$2:$D$269), 0) - 1 ) / COUNTIF($D$2:$D$269,"&gt;0")) + 1)</f>
        <v/>
      </c>
      <c r="O248" t="str">
        <f>IF(E248=0,"","Q"&amp;INT(4*( RANK(E248, IF($E$2:$E$269&lt;&gt;0, $E$2:$E$269), 0) - 1 ) / COUNTIF($E$2:$E$269,"&gt;0")) + 1)</f>
        <v>Q3</v>
      </c>
      <c r="P248" t="str">
        <f>IF(F248=0,"","Q"&amp;INT(4*( RANK(F248, IF($F$2:$F$269&lt;&gt;0, $F$2:$F$269), 0) - 1 ) / COUNTIF($F$2:$F$269,"&gt;0")) + 1)</f>
        <v/>
      </c>
      <c r="Q248" t="str">
        <f>IF(G248=0,"","Q"&amp;INT(4*( RANK(G248, IF($G$2:$G$269&lt;&gt;0, $G$2:$G$269), 0) - 1 ) / COUNTIF($G$2:$G$269,"&gt;0")) + 1)</f>
        <v/>
      </c>
      <c r="R248" t="str">
        <f>IF(H248=0,"","Q"&amp;INT(4*( RANK(H248, IF($H$2:$H$269&lt;&gt;0, $H$2:$H$269), 0) - 1 ) / COUNTIF($H$2:$H$269,"&gt;0")) + 1)</f>
        <v/>
      </c>
      <c r="S248" t="str">
        <f>IF(I248=0,"","Q"&amp;INT(4*( RANK(I248, IF($I$2:$I$269&lt;&gt;0, $I$2:$I$269), 0) - 1 ) / COUNTIF($I$2:$I$269,"&gt;0")) + 1)</f>
        <v/>
      </c>
      <c r="T248" t="str">
        <f>IF(J248=0,"","Q"&amp;INT(4*( RANK(J248, IF($J$2:$J$269&lt;&gt;0, $J$2:$J$269), 0) - 1 ) / COUNTIF($J$2:$J$269,"&gt;0")) + 1)</f>
        <v/>
      </c>
      <c r="U248" t="str">
        <f>IF(K248=0,"","Q"&amp;INT(4*( RANK(K248, IF($K$2:$K$269&lt;&gt;0, $K$2:$K$269), 0) - 1 ) / COUNTIF($K$2:$K$269,"&gt;0")) + 1)</f>
        <v/>
      </c>
    </row>
    <row r="249" spans="1:21" x14ac:dyDescent="0.2">
      <c r="A249" t="s">
        <v>1022</v>
      </c>
      <c r="B249" s="2">
        <v>0</v>
      </c>
      <c r="C249" s="2">
        <v>0</v>
      </c>
      <c r="D249" s="2">
        <v>0</v>
      </c>
      <c r="E249" s="2">
        <v>2.5210084033613401E-2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t="str">
        <f>IF(B249=0,"","Q"&amp;INT(4*( RANK(B249, IF($B$2:$B$269&lt;&gt;0, $B$2:$B$269), 0) - 1 ) / COUNTIF($B$2:$B$269,"&gt;0")) + 1)</f>
        <v/>
      </c>
      <c r="M249" t="str">
        <f>IF(C249=0,"","Q"&amp;INT(4*( RANK(C249, IF($C$2:$C$269&lt;&gt;0, $C$2:$C$269), 0) - 1 ) / COUNTIF($C$2:$C$269,"&gt;0")) + 1)</f>
        <v/>
      </c>
      <c r="N249" t="str">
        <f>IF(D249=0,"","Q"&amp;INT(4*( RANK(D249, IF($D$2:$D$269&lt;&gt;0, $D$2:$D$269), 0) - 1 ) / COUNTIF($D$2:$D$269,"&gt;0")) + 1)</f>
        <v/>
      </c>
      <c r="O249" t="str">
        <f>IF(E249=0,"","Q"&amp;INT(4*( RANK(E249, IF($E$2:$E$269&lt;&gt;0, $E$2:$E$269), 0) - 1 ) / COUNTIF($E$2:$E$269,"&gt;0")) + 1)</f>
        <v>Q1</v>
      </c>
      <c r="P249" t="str">
        <f>IF(F249=0,"","Q"&amp;INT(4*( RANK(F249, IF($F$2:$F$269&lt;&gt;0, $F$2:$F$269), 0) - 1 ) / COUNTIF($F$2:$F$269,"&gt;0")) + 1)</f>
        <v/>
      </c>
      <c r="Q249" t="str">
        <f>IF(G249=0,"","Q"&amp;INT(4*( RANK(G249, IF($G$2:$G$269&lt;&gt;0, $G$2:$G$269), 0) - 1 ) / COUNTIF($G$2:$G$269,"&gt;0")) + 1)</f>
        <v/>
      </c>
      <c r="R249" t="str">
        <f>IF(H249=0,"","Q"&amp;INT(4*( RANK(H249, IF($H$2:$H$269&lt;&gt;0, $H$2:$H$269), 0) - 1 ) / COUNTIF($H$2:$H$269,"&gt;0")) + 1)</f>
        <v/>
      </c>
      <c r="S249" t="str">
        <f>IF(I249=0,"","Q"&amp;INT(4*( RANK(I249, IF($I$2:$I$269&lt;&gt;0, $I$2:$I$269), 0) - 1 ) / COUNTIF($I$2:$I$269,"&gt;0")) + 1)</f>
        <v/>
      </c>
      <c r="T249" t="str">
        <f>IF(J249=0,"","Q"&amp;INT(4*( RANK(J249, IF($J$2:$J$269&lt;&gt;0, $J$2:$J$269), 0) - 1 ) / COUNTIF($J$2:$J$269,"&gt;0")) + 1)</f>
        <v/>
      </c>
      <c r="U249" t="str">
        <f>IF(K249=0,"","Q"&amp;INT(4*( RANK(K249, IF($K$2:$K$269&lt;&gt;0, $K$2:$K$269), 0) - 1 ) / COUNTIF($K$2:$K$269,"&gt;0")) + 1)</f>
        <v/>
      </c>
    </row>
    <row r="250" spans="1:21" x14ac:dyDescent="0.2">
      <c r="A250" t="s">
        <v>1023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0.22222222222222199</v>
      </c>
      <c r="I250" s="2">
        <v>0</v>
      </c>
      <c r="J250" s="2">
        <v>0</v>
      </c>
      <c r="K250" s="2">
        <v>0</v>
      </c>
      <c r="L250" t="str">
        <f>IF(B250=0,"","Q"&amp;INT(4*( RANK(B250, IF($B$2:$B$269&lt;&gt;0, $B$2:$B$269), 0) - 1 ) / COUNTIF($B$2:$B$269,"&gt;0")) + 1)</f>
        <v/>
      </c>
      <c r="M250" t="str">
        <f>IF(C250=0,"","Q"&amp;INT(4*( RANK(C250, IF($C$2:$C$269&lt;&gt;0, $C$2:$C$269), 0) - 1 ) / COUNTIF($C$2:$C$269,"&gt;0")) + 1)</f>
        <v/>
      </c>
      <c r="N250" t="str">
        <f>IF(D250=0,"","Q"&amp;INT(4*( RANK(D250, IF($D$2:$D$269&lt;&gt;0, $D$2:$D$269), 0) - 1 ) / COUNTIF($D$2:$D$269,"&gt;0")) + 1)</f>
        <v/>
      </c>
      <c r="O250" t="str">
        <f>IF(E250=0,"","Q"&amp;INT(4*( RANK(E250, IF($E$2:$E$269&lt;&gt;0, $E$2:$E$269), 0) - 1 ) / COUNTIF($E$2:$E$269,"&gt;0")) + 1)</f>
        <v/>
      </c>
      <c r="P250" t="str">
        <f>IF(F250=0,"","Q"&amp;INT(4*( RANK(F250, IF($F$2:$F$269&lt;&gt;0, $F$2:$F$269), 0) - 1 ) / COUNTIF($F$2:$F$269,"&gt;0")) + 1)</f>
        <v/>
      </c>
      <c r="Q250" t="str">
        <f>IF(G250=0,"","Q"&amp;INT(4*( RANK(G250, IF($G$2:$G$269&lt;&gt;0, $G$2:$G$269), 0) - 1 ) / COUNTIF($G$2:$G$269,"&gt;0")) + 1)</f>
        <v/>
      </c>
      <c r="R250" t="str">
        <f>IF(H250=0,"","Q"&amp;INT(4*( RANK(H250, IF($H$2:$H$269&lt;&gt;0, $H$2:$H$269), 0) - 1 ) / COUNTIF($H$2:$H$269,"&gt;0")) + 1)</f>
        <v>Q3</v>
      </c>
      <c r="S250" t="str">
        <f>IF(I250=0,"","Q"&amp;INT(4*( RANK(I250, IF($I$2:$I$269&lt;&gt;0, $I$2:$I$269), 0) - 1 ) / COUNTIF($I$2:$I$269,"&gt;0")) + 1)</f>
        <v/>
      </c>
      <c r="T250" t="str">
        <f>IF(J250=0,"","Q"&amp;INT(4*( RANK(J250, IF($J$2:$J$269&lt;&gt;0, $J$2:$J$269), 0) - 1 ) / COUNTIF($J$2:$J$269,"&gt;0")) + 1)</f>
        <v/>
      </c>
      <c r="U250" t="str">
        <f>IF(K250=0,"","Q"&amp;INT(4*( RANK(K250, IF($K$2:$K$269&lt;&gt;0, $K$2:$K$269), 0) - 1 ) / COUNTIF($K$2:$K$269,"&gt;0")) + 1)</f>
        <v/>
      </c>
    </row>
    <row r="251" spans="1:21" x14ac:dyDescent="0.2">
      <c r="A251" t="s">
        <v>335</v>
      </c>
      <c r="B251" s="2">
        <v>0</v>
      </c>
      <c r="C251" s="2">
        <v>0</v>
      </c>
      <c r="D251" s="2">
        <v>0</v>
      </c>
      <c r="E251" s="2">
        <v>8.4033613445378096E-3</v>
      </c>
      <c r="F251" s="2">
        <v>0</v>
      </c>
      <c r="G251" s="2">
        <v>0</v>
      </c>
      <c r="H251" s="2">
        <v>0</v>
      </c>
      <c r="I251" s="2">
        <v>0</v>
      </c>
      <c r="J251" s="2">
        <v>6.9767441860465101E-2</v>
      </c>
      <c r="K251" s="2">
        <v>0.11764705882352899</v>
      </c>
      <c r="L251" t="str">
        <f>IF(B251=0,"","Q"&amp;INT(4*( RANK(B251, IF($B$2:$B$269&lt;&gt;0, $B$2:$B$269), 0) - 1 ) / COUNTIF($B$2:$B$269,"&gt;0")) + 1)</f>
        <v/>
      </c>
      <c r="M251" t="str">
        <f>IF(C251=0,"","Q"&amp;INT(4*( RANK(C251, IF($C$2:$C$269&lt;&gt;0, $C$2:$C$269), 0) - 1 ) / COUNTIF($C$2:$C$269,"&gt;0")) + 1)</f>
        <v/>
      </c>
      <c r="N251" t="str">
        <f>IF(D251=0,"","Q"&amp;INT(4*( RANK(D251, IF($D$2:$D$269&lt;&gt;0, $D$2:$D$269), 0) - 1 ) / COUNTIF($D$2:$D$269,"&gt;0")) + 1)</f>
        <v/>
      </c>
      <c r="O251" t="str">
        <f>IF(E251=0,"","Q"&amp;INT(4*( RANK(E251, IF($E$2:$E$269&lt;&gt;0, $E$2:$E$269), 0) - 1 ) / COUNTIF($E$2:$E$269,"&gt;0")) + 1)</f>
        <v>Q3</v>
      </c>
      <c r="P251" t="str">
        <f>IF(F251=0,"","Q"&amp;INT(4*( RANK(F251, IF($F$2:$F$269&lt;&gt;0, $F$2:$F$269), 0) - 1 ) / COUNTIF($F$2:$F$269,"&gt;0")) + 1)</f>
        <v/>
      </c>
      <c r="Q251" t="str">
        <f>IF(G251=0,"","Q"&amp;INT(4*( RANK(G251, IF($G$2:$G$269&lt;&gt;0, $G$2:$G$269), 0) - 1 ) / COUNTIF($G$2:$G$269,"&gt;0")) + 1)</f>
        <v/>
      </c>
      <c r="R251" t="str">
        <f>IF(H251=0,"","Q"&amp;INT(4*( RANK(H251, IF($H$2:$H$269&lt;&gt;0, $H$2:$H$269), 0) - 1 ) / COUNTIF($H$2:$H$269,"&gt;0")) + 1)</f>
        <v/>
      </c>
      <c r="S251" t="str">
        <f>IF(I251=0,"","Q"&amp;INT(4*( RANK(I251, IF($I$2:$I$269&lt;&gt;0, $I$2:$I$269), 0) - 1 ) / COUNTIF($I$2:$I$269,"&gt;0")) + 1)</f>
        <v/>
      </c>
      <c r="T251" t="str">
        <f>IF(J251=0,"","Q"&amp;INT(4*( RANK(J251, IF($J$2:$J$269&lt;&gt;0, $J$2:$J$269), 0) - 1 ) / COUNTIF($J$2:$J$269,"&gt;0")) + 1)</f>
        <v>Q3</v>
      </c>
      <c r="U251" t="str">
        <f>IF(K251=0,"","Q"&amp;INT(4*( RANK(K251, IF($K$2:$K$269&lt;&gt;0, $K$2:$K$269), 0) - 1 ) / COUNTIF($K$2:$K$269,"&gt;0")) + 1)</f>
        <v>Q4</v>
      </c>
    </row>
    <row r="252" spans="1:21" x14ac:dyDescent="0.2">
      <c r="A252" t="s">
        <v>1024</v>
      </c>
      <c r="B252" s="2">
        <v>0</v>
      </c>
      <c r="C252" s="2">
        <v>0</v>
      </c>
      <c r="D252" s="2">
        <v>0</v>
      </c>
      <c r="E252" s="2">
        <v>2.5210084033613401E-2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t="str">
        <f>IF(B252=0,"","Q"&amp;INT(4*( RANK(B252, IF($B$2:$B$269&lt;&gt;0, $B$2:$B$269), 0) - 1 ) / COUNTIF($B$2:$B$269,"&gt;0")) + 1)</f>
        <v/>
      </c>
      <c r="M252" t="str">
        <f>IF(C252=0,"","Q"&amp;INT(4*( RANK(C252, IF($C$2:$C$269&lt;&gt;0, $C$2:$C$269), 0) - 1 ) / COUNTIF($C$2:$C$269,"&gt;0")) + 1)</f>
        <v/>
      </c>
      <c r="N252" t="str">
        <f>IF(D252=0,"","Q"&amp;INT(4*( RANK(D252, IF($D$2:$D$269&lt;&gt;0, $D$2:$D$269), 0) - 1 ) / COUNTIF($D$2:$D$269,"&gt;0")) + 1)</f>
        <v/>
      </c>
      <c r="O252" t="str">
        <f>IF(E252=0,"","Q"&amp;INT(4*( RANK(E252, IF($E$2:$E$269&lt;&gt;0, $E$2:$E$269), 0) - 1 ) / COUNTIF($E$2:$E$269,"&gt;0")) + 1)</f>
        <v>Q1</v>
      </c>
      <c r="P252" t="str">
        <f>IF(F252=0,"","Q"&amp;INT(4*( RANK(F252, IF($F$2:$F$269&lt;&gt;0, $F$2:$F$269), 0) - 1 ) / COUNTIF($F$2:$F$269,"&gt;0")) + 1)</f>
        <v/>
      </c>
      <c r="Q252" t="str">
        <f>IF(G252=0,"","Q"&amp;INT(4*( RANK(G252, IF($G$2:$G$269&lt;&gt;0, $G$2:$G$269), 0) - 1 ) / COUNTIF($G$2:$G$269,"&gt;0")) + 1)</f>
        <v/>
      </c>
      <c r="R252" t="str">
        <f>IF(H252=0,"","Q"&amp;INT(4*( RANK(H252, IF($H$2:$H$269&lt;&gt;0, $H$2:$H$269), 0) - 1 ) / COUNTIF($H$2:$H$269,"&gt;0")) + 1)</f>
        <v/>
      </c>
      <c r="S252" t="str">
        <f>IF(I252=0,"","Q"&amp;INT(4*( RANK(I252, IF($I$2:$I$269&lt;&gt;0, $I$2:$I$269), 0) - 1 ) / COUNTIF($I$2:$I$269,"&gt;0")) + 1)</f>
        <v/>
      </c>
      <c r="T252" t="str">
        <f>IF(J252=0,"","Q"&amp;INT(4*( RANK(J252, IF($J$2:$J$269&lt;&gt;0, $J$2:$J$269), 0) - 1 ) / COUNTIF($J$2:$J$269,"&gt;0")) + 1)</f>
        <v/>
      </c>
      <c r="U252" t="str">
        <f>IF(K252=0,"","Q"&amp;INT(4*( RANK(K252, IF($K$2:$K$269&lt;&gt;0, $K$2:$K$269), 0) - 1 ) / COUNTIF($K$2:$K$269,"&gt;0")) + 1)</f>
        <v/>
      </c>
    </row>
    <row r="253" spans="1:21" x14ac:dyDescent="0.2">
      <c r="A253" t="s">
        <v>1086</v>
      </c>
      <c r="B253" s="2">
        <v>0</v>
      </c>
      <c r="C253" s="2">
        <v>0</v>
      </c>
      <c r="D253" s="2">
        <v>0</v>
      </c>
      <c r="E253" s="2">
        <v>1.26050420168067E-2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t="str">
        <f>IF(B253=0,"","Q"&amp;INT(4*( RANK(B253, IF($B$2:$B$269&lt;&gt;0, $B$2:$B$269), 0) - 1 ) / COUNTIF($B$2:$B$269,"&gt;0")) + 1)</f>
        <v/>
      </c>
      <c r="M253" t="str">
        <f>IF(C253=0,"","Q"&amp;INT(4*( RANK(C253, IF($C$2:$C$269&lt;&gt;0, $C$2:$C$269), 0) - 1 ) / COUNTIF($C$2:$C$269,"&gt;0")) + 1)</f>
        <v/>
      </c>
      <c r="N253" t="str">
        <f>IF(D253=0,"","Q"&amp;INT(4*( RANK(D253, IF($D$2:$D$269&lt;&gt;0, $D$2:$D$269), 0) - 1 ) / COUNTIF($D$2:$D$269,"&gt;0")) + 1)</f>
        <v/>
      </c>
      <c r="O253" t="str">
        <f>IF(E253=0,"","Q"&amp;INT(4*( RANK(E253, IF($E$2:$E$269&lt;&gt;0, $E$2:$E$269), 0) - 1 ) / COUNTIF($E$2:$E$269,"&gt;0")) + 1)</f>
        <v>Q2</v>
      </c>
      <c r="P253" t="str">
        <f>IF(F253=0,"","Q"&amp;INT(4*( RANK(F253, IF($F$2:$F$269&lt;&gt;0, $F$2:$F$269), 0) - 1 ) / COUNTIF($F$2:$F$269,"&gt;0")) + 1)</f>
        <v/>
      </c>
      <c r="Q253" t="str">
        <f>IF(G253=0,"","Q"&amp;INT(4*( RANK(G253, IF($G$2:$G$269&lt;&gt;0, $G$2:$G$269), 0) - 1 ) / COUNTIF($G$2:$G$269,"&gt;0")) + 1)</f>
        <v/>
      </c>
      <c r="R253" t="str">
        <f>IF(H253=0,"","Q"&amp;INT(4*( RANK(H253, IF($H$2:$H$269&lt;&gt;0, $H$2:$H$269), 0) - 1 ) / COUNTIF($H$2:$H$269,"&gt;0")) + 1)</f>
        <v/>
      </c>
      <c r="S253" t="str">
        <f>IF(I253=0,"","Q"&amp;INT(4*( RANK(I253, IF($I$2:$I$269&lt;&gt;0, $I$2:$I$269), 0) - 1 ) / COUNTIF($I$2:$I$269,"&gt;0")) + 1)</f>
        <v/>
      </c>
      <c r="T253" t="str">
        <f>IF(J253=0,"","Q"&amp;INT(4*( RANK(J253, IF($J$2:$J$269&lt;&gt;0, $J$2:$J$269), 0) - 1 ) / COUNTIF($J$2:$J$269,"&gt;0")) + 1)</f>
        <v/>
      </c>
      <c r="U253" t="str">
        <f>IF(K253=0,"","Q"&amp;INT(4*( RANK(K253, IF($K$2:$K$269&lt;&gt;0, $K$2:$K$269), 0) - 1 ) / COUNTIF($K$2:$K$269,"&gt;0")) + 1)</f>
        <v/>
      </c>
    </row>
    <row r="254" spans="1:21" x14ac:dyDescent="0.2">
      <c r="A254" t="s">
        <v>1087</v>
      </c>
      <c r="B254" s="2">
        <v>0</v>
      </c>
      <c r="C254" s="2">
        <v>0</v>
      </c>
      <c r="D254" s="2">
        <v>0</v>
      </c>
      <c r="E254" s="2">
        <v>4.2016806722688996E-3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t="str">
        <f>IF(B254=0,"","Q"&amp;INT(4*( RANK(B254, IF($B$2:$B$269&lt;&gt;0, $B$2:$B$269), 0) - 1 ) / COUNTIF($B$2:$B$269,"&gt;0")) + 1)</f>
        <v/>
      </c>
      <c r="M254" t="str">
        <f>IF(C254=0,"","Q"&amp;INT(4*( RANK(C254, IF($C$2:$C$269&lt;&gt;0, $C$2:$C$269), 0) - 1 ) / COUNTIF($C$2:$C$269,"&gt;0")) + 1)</f>
        <v/>
      </c>
      <c r="N254" t="str">
        <f>IF(D254=0,"","Q"&amp;INT(4*( RANK(D254, IF($D$2:$D$269&lt;&gt;0, $D$2:$D$269), 0) - 1 ) / COUNTIF($D$2:$D$269,"&gt;0")) + 1)</f>
        <v/>
      </c>
      <c r="O254" t="str">
        <f>IF(E254=0,"","Q"&amp;INT(4*( RANK(E254, IF($E$2:$E$269&lt;&gt;0, $E$2:$E$269), 0) - 1 ) / COUNTIF($E$2:$E$269,"&gt;0")) + 1)</f>
        <v>Q4</v>
      </c>
      <c r="P254" t="str">
        <f>IF(F254=0,"","Q"&amp;INT(4*( RANK(F254, IF($F$2:$F$269&lt;&gt;0, $F$2:$F$269), 0) - 1 ) / COUNTIF($F$2:$F$269,"&gt;0")) + 1)</f>
        <v/>
      </c>
      <c r="Q254" t="str">
        <f>IF(G254=0,"","Q"&amp;INT(4*( RANK(G254, IF($G$2:$G$269&lt;&gt;0, $G$2:$G$269), 0) - 1 ) / COUNTIF($G$2:$G$269,"&gt;0")) + 1)</f>
        <v/>
      </c>
      <c r="R254" t="str">
        <f>IF(H254=0,"","Q"&amp;INT(4*( RANK(H254, IF($H$2:$H$269&lt;&gt;0, $H$2:$H$269), 0) - 1 ) / COUNTIF($H$2:$H$269,"&gt;0")) + 1)</f>
        <v/>
      </c>
      <c r="S254" t="str">
        <f>IF(I254=0,"","Q"&amp;INT(4*( RANK(I254, IF($I$2:$I$269&lt;&gt;0, $I$2:$I$269), 0) - 1 ) / COUNTIF($I$2:$I$269,"&gt;0")) + 1)</f>
        <v/>
      </c>
      <c r="T254" t="str">
        <f>IF(J254=0,"","Q"&amp;INT(4*( RANK(J254, IF($J$2:$J$269&lt;&gt;0, $J$2:$J$269), 0) - 1 ) / COUNTIF($J$2:$J$269,"&gt;0")) + 1)</f>
        <v/>
      </c>
      <c r="U254" t="str">
        <f>IF(K254=0,"","Q"&amp;INT(4*( RANK(K254, IF($K$2:$K$269&lt;&gt;0, $K$2:$K$269), 0) - 1 ) / COUNTIF($K$2:$K$269,"&gt;0")) + 1)</f>
        <v/>
      </c>
    </row>
    <row r="255" spans="1:21" x14ac:dyDescent="0.2">
      <c r="A255" t="s">
        <v>340</v>
      </c>
      <c r="B255" s="2">
        <v>0</v>
      </c>
      <c r="C255" s="2">
        <v>0</v>
      </c>
      <c r="D255" s="2">
        <v>0</v>
      </c>
      <c r="E255" s="2">
        <v>4.2016806722688996E-3</v>
      </c>
      <c r="F255" s="2">
        <v>0</v>
      </c>
      <c r="G255" s="2">
        <v>0</v>
      </c>
      <c r="H255" s="2">
        <v>0</v>
      </c>
      <c r="I255" s="2">
        <v>0</v>
      </c>
      <c r="J255" s="2">
        <v>6.9767441860465101E-2</v>
      </c>
      <c r="K255" s="2">
        <v>0</v>
      </c>
      <c r="L255" t="str">
        <f>IF(B255=0,"","Q"&amp;INT(4*( RANK(B255, IF($B$2:$B$269&lt;&gt;0, $B$2:$B$269), 0) - 1 ) / COUNTIF($B$2:$B$269,"&gt;0")) + 1)</f>
        <v/>
      </c>
      <c r="M255" t="str">
        <f>IF(C255=0,"","Q"&amp;INT(4*( RANK(C255, IF($C$2:$C$269&lt;&gt;0, $C$2:$C$269), 0) - 1 ) / COUNTIF($C$2:$C$269,"&gt;0")) + 1)</f>
        <v/>
      </c>
      <c r="N255" t="str">
        <f>IF(D255=0,"","Q"&amp;INT(4*( RANK(D255, IF($D$2:$D$269&lt;&gt;0, $D$2:$D$269), 0) - 1 ) / COUNTIF($D$2:$D$269,"&gt;0")) + 1)</f>
        <v/>
      </c>
      <c r="O255" t="str">
        <f>IF(E255=0,"","Q"&amp;INT(4*( RANK(E255, IF($E$2:$E$269&lt;&gt;0, $E$2:$E$269), 0) - 1 ) / COUNTIF($E$2:$E$269,"&gt;0")) + 1)</f>
        <v>Q4</v>
      </c>
      <c r="P255" t="str">
        <f>IF(F255=0,"","Q"&amp;INT(4*( RANK(F255, IF($F$2:$F$269&lt;&gt;0, $F$2:$F$269), 0) - 1 ) / COUNTIF($F$2:$F$269,"&gt;0")) + 1)</f>
        <v/>
      </c>
      <c r="Q255" t="str">
        <f>IF(G255=0,"","Q"&amp;INT(4*( RANK(G255, IF($G$2:$G$269&lt;&gt;0, $G$2:$G$269), 0) - 1 ) / COUNTIF($G$2:$G$269,"&gt;0")) + 1)</f>
        <v/>
      </c>
      <c r="R255" t="str">
        <f>IF(H255=0,"","Q"&amp;INT(4*( RANK(H255, IF($H$2:$H$269&lt;&gt;0, $H$2:$H$269), 0) - 1 ) / COUNTIF($H$2:$H$269,"&gt;0")) + 1)</f>
        <v/>
      </c>
      <c r="S255" t="str">
        <f>IF(I255=0,"","Q"&amp;INT(4*( RANK(I255, IF($I$2:$I$269&lt;&gt;0, $I$2:$I$269), 0) - 1 ) / COUNTIF($I$2:$I$269,"&gt;0")) + 1)</f>
        <v/>
      </c>
      <c r="T255" t="str">
        <f>IF(J255=0,"","Q"&amp;INT(4*( RANK(J255, IF($J$2:$J$269&lt;&gt;0, $J$2:$J$269), 0) - 1 ) / COUNTIF($J$2:$J$269,"&gt;0")) + 1)</f>
        <v>Q3</v>
      </c>
      <c r="U255" t="str">
        <f>IF(K255=0,"","Q"&amp;INT(4*( RANK(K255, IF($K$2:$K$269&lt;&gt;0, $K$2:$K$269), 0) - 1 ) / COUNTIF($K$2:$K$269,"&gt;0")) + 1)</f>
        <v/>
      </c>
    </row>
    <row r="256" spans="1:21" x14ac:dyDescent="0.2">
      <c r="A256" s="8" t="s">
        <v>341</v>
      </c>
      <c r="B256" s="2">
        <v>0</v>
      </c>
      <c r="C256" s="2">
        <v>0</v>
      </c>
      <c r="D256" s="2">
        <v>0</v>
      </c>
      <c r="E256" s="2">
        <v>1.26050420168067E-2</v>
      </c>
      <c r="F256" s="2">
        <v>0</v>
      </c>
      <c r="G256" s="2">
        <v>0</v>
      </c>
      <c r="H256" s="2">
        <v>0.22222222222222199</v>
      </c>
      <c r="I256" s="2">
        <v>0</v>
      </c>
      <c r="J256" s="2">
        <v>0</v>
      </c>
      <c r="K256" s="2">
        <v>0</v>
      </c>
      <c r="L256" t="str">
        <f>IF(B256=0,"","Q"&amp;INT(4*( RANK(B256, IF($B$2:$B$269&lt;&gt;0, $B$2:$B$269), 0) - 1 ) / COUNTIF($B$2:$B$269,"&gt;0")) + 1)</f>
        <v/>
      </c>
      <c r="M256" t="str">
        <f>IF(C256=0,"","Q"&amp;INT(4*( RANK(C256, IF($C$2:$C$269&lt;&gt;0, $C$2:$C$269), 0) - 1 ) / COUNTIF($C$2:$C$269,"&gt;0")) + 1)</f>
        <v/>
      </c>
      <c r="N256" t="str">
        <f>IF(D256=0,"","Q"&amp;INT(4*( RANK(D256, IF($D$2:$D$269&lt;&gt;0, $D$2:$D$269), 0) - 1 ) / COUNTIF($D$2:$D$269,"&gt;0")) + 1)</f>
        <v/>
      </c>
      <c r="O256" t="str">
        <f>IF(E256=0,"","Q"&amp;INT(4*( RANK(E256, IF($E$2:$E$269&lt;&gt;0, $E$2:$E$269), 0) - 1 ) / COUNTIF($E$2:$E$269,"&gt;0")) + 1)</f>
        <v>Q2</v>
      </c>
      <c r="P256" t="str">
        <f>IF(F256=0,"","Q"&amp;INT(4*( RANK(F256, IF($F$2:$F$269&lt;&gt;0, $F$2:$F$269), 0) - 1 ) / COUNTIF($F$2:$F$269,"&gt;0")) + 1)</f>
        <v/>
      </c>
      <c r="Q256" t="str">
        <f>IF(G256=0,"","Q"&amp;INT(4*( RANK(G256, IF($G$2:$G$269&lt;&gt;0, $G$2:$G$269), 0) - 1 ) / COUNTIF($G$2:$G$269,"&gt;0")) + 1)</f>
        <v/>
      </c>
      <c r="R256" t="str">
        <f>IF(H256=0,"","Q"&amp;INT(4*( RANK(H256, IF($H$2:$H$269&lt;&gt;0, $H$2:$H$269), 0) - 1 ) / COUNTIF($H$2:$H$269,"&gt;0")) + 1)</f>
        <v>Q3</v>
      </c>
      <c r="S256" t="str">
        <f>IF(I256=0,"","Q"&amp;INT(4*( RANK(I256, IF($I$2:$I$269&lt;&gt;0, $I$2:$I$269), 0) - 1 ) / COUNTIF($I$2:$I$269,"&gt;0")) + 1)</f>
        <v/>
      </c>
      <c r="T256" t="str">
        <f>IF(J256=0,"","Q"&amp;INT(4*( RANK(J256, IF($J$2:$J$269&lt;&gt;0, $J$2:$J$269), 0) - 1 ) / COUNTIF($J$2:$J$269,"&gt;0")) + 1)</f>
        <v/>
      </c>
      <c r="U256" t="str">
        <f>IF(K256=0,"","Q"&amp;INT(4*( RANK(K256, IF($K$2:$K$269&lt;&gt;0, $K$2:$K$269), 0) - 1 ) / COUNTIF($K$2:$K$269,"&gt;0")) + 1)</f>
        <v/>
      </c>
    </row>
    <row r="257" spans="1:21" x14ac:dyDescent="0.2">
      <c r="A257" t="s">
        <v>1025</v>
      </c>
      <c r="B257" s="2">
        <v>0</v>
      </c>
      <c r="C257" s="2">
        <v>0.3</v>
      </c>
      <c r="D257" s="2">
        <v>0</v>
      </c>
      <c r="E257" s="2">
        <v>4.2016806722688996E-3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t="str">
        <f>IF(B257=0,"","Q"&amp;INT(4*( RANK(B257, IF($B$2:$B$269&lt;&gt;0, $B$2:$B$269), 0) - 1 ) / COUNTIF($B$2:$B$269,"&gt;0")) + 1)</f>
        <v/>
      </c>
      <c r="M257" t="str">
        <f>IF(C257=0,"","Q"&amp;INT(4*( RANK(C257, IF($C$2:$C$269&lt;&gt;0, $C$2:$C$269), 0) - 1 ) / COUNTIF($C$2:$C$269,"&gt;0")) + 1)</f>
        <v>Q2</v>
      </c>
      <c r="N257" t="str">
        <f>IF(D257=0,"","Q"&amp;INT(4*( RANK(D257, IF($D$2:$D$269&lt;&gt;0, $D$2:$D$269), 0) - 1 ) / COUNTIF($D$2:$D$269,"&gt;0")) + 1)</f>
        <v/>
      </c>
      <c r="O257" t="str">
        <f>IF(E257=0,"","Q"&amp;INT(4*( RANK(E257, IF($E$2:$E$269&lt;&gt;0, $E$2:$E$269), 0) - 1 ) / COUNTIF($E$2:$E$269,"&gt;0")) + 1)</f>
        <v>Q4</v>
      </c>
      <c r="P257" t="str">
        <f>IF(F257=0,"","Q"&amp;INT(4*( RANK(F257, IF($F$2:$F$269&lt;&gt;0, $F$2:$F$269), 0) - 1 ) / COUNTIF($F$2:$F$269,"&gt;0")) + 1)</f>
        <v/>
      </c>
      <c r="Q257" t="str">
        <f>IF(G257=0,"","Q"&amp;INT(4*( RANK(G257, IF($G$2:$G$269&lt;&gt;0, $G$2:$G$269), 0) - 1 ) / COUNTIF($G$2:$G$269,"&gt;0")) + 1)</f>
        <v/>
      </c>
      <c r="R257" t="str">
        <f>IF(H257=0,"","Q"&amp;INT(4*( RANK(H257, IF($H$2:$H$269&lt;&gt;0, $H$2:$H$269), 0) - 1 ) / COUNTIF($H$2:$H$269,"&gt;0")) + 1)</f>
        <v/>
      </c>
      <c r="S257" t="str">
        <f>IF(I257=0,"","Q"&amp;INT(4*( RANK(I257, IF($I$2:$I$269&lt;&gt;0, $I$2:$I$269), 0) - 1 ) / COUNTIF($I$2:$I$269,"&gt;0")) + 1)</f>
        <v/>
      </c>
      <c r="T257" t="str">
        <f>IF(J257=0,"","Q"&amp;INT(4*( RANK(J257, IF($J$2:$J$269&lt;&gt;0, $J$2:$J$269), 0) - 1 ) / COUNTIF($J$2:$J$269,"&gt;0")) + 1)</f>
        <v/>
      </c>
      <c r="U257" t="str">
        <f>IF(K257=0,"","Q"&amp;INT(4*( RANK(K257, IF($K$2:$K$269&lt;&gt;0, $K$2:$K$269), 0) - 1 ) / COUNTIF($K$2:$K$269,"&gt;0")) + 1)</f>
        <v/>
      </c>
    </row>
    <row r="258" spans="1:21" x14ac:dyDescent="0.2">
      <c r="A258" t="s">
        <v>343</v>
      </c>
      <c r="B258" s="2">
        <v>0</v>
      </c>
      <c r="C258" s="2">
        <v>0</v>
      </c>
      <c r="D258" s="2">
        <v>0</v>
      </c>
      <c r="E258" s="2">
        <v>0</v>
      </c>
      <c r="F258" s="2">
        <v>7.69230769230769E-2</v>
      </c>
      <c r="G258" s="2">
        <v>0</v>
      </c>
      <c r="H258" s="2">
        <v>0</v>
      </c>
      <c r="I258" s="2">
        <v>0</v>
      </c>
      <c r="J258" s="2">
        <v>2.3255813953488299E-2</v>
      </c>
      <c r="K258" s="2">
        <v>0</v>
      </c>
      <c r="L258" t="str">
        <f>IF(B258=0,"","Q"&amp;INT(4*( RANK(B258, IF($B$2:$B$269&lt;&gt;0, $B$2:$B$269), 0) - 1 ) / COUNTIF($B$2:$B$269,"&gt;0")) + 1)</f>
        <v/>
      </c>
      <c r="M258" t="str">
        <f>IF(C258=0,"","Q"&amp;INT(4*( RANK(C258, IF($C$2:$C$269&lt;&gt;0, $C$2:$C$269), 0) - 1 ) / COUNTIF($C$2:$C$269,"&gt;0")) + 1)</f>
        <v/>
      </c>
      <c r="N258" t="str">
        <f>IF(D258=0,"","Q"&amp;INT(4*( RANK(D258, IF($D$2:$D$269&lt;&gt;0, $D$2:$D$269), 0) - 1 ) / COUNTIF($D$2:$D$269,"&gt;0")) + 1)</f>
        <v/>
      </c>
      <c r="O258" t="str">
        <f>IF(E258=0,"","Q"&amp;INT(4*( RANK(E258, IF($E$2:$E$269&lt;&gt;0, $E$2:$E$269), 0) - 1 ) / COUNTIF($E$2:$E$269,"&gt;0")) + 1)</f>
        <v/>
      </c>
      <c r="P258" t="str">
        <f>IF(F258=0,"","Q"&amp;INT(4*( RANK(F258, IF($F$2:$F$269&lt;&gt;0, $F$2:$F$269), 0) - 1 ) / COUNTIF($F$2:$F$269,"&gt;0")) + 1)</f>
        <v>Q3</v>
      </c>
      <c r="Q258" t="str">
        <f>IF(G258=0,"","Q"&amp;INT(4*( RANK(G258, IF($G$2:$G$269&lt;&gt;0, $G$2:$G$269), 0) - 1 ) / COUNTIF($G$2:$G$269,"&gt;0")) + 1)</f>
        <v/>
      </c>
      <c r="R258" t="str">
        <f>IF(H258=0,"","Q"&amp;INT(4*( RANK(H258, IF($H$2:$H$269&lt;&gt;0, $H$2:$H$269), 0) - 1 ) / COUNTIF($H$2:$H$269,"&gt;0")) + 1)</f>
        <v/>
      </c>
      <c r="S258" t="str">
        <f>IF(I258=0,"","Q"&amp;INT(4*( RANK(I258, IF($I$2:$I$269&lt;&gt;0, $I$2:$I$269), 0) - 1 ) / COUNTIF($I$2:$I$269,"&gt;0")) + 1)</f>
        <v/>
      </c>
      <c r="T258" t="str">
        <f>IF(J258=0,"","Q"&amp;INT(4*( RANK(J258, IF($J$2:$J$269&lt;&gt;0, $J$2:$J$269), 0) - 1 ) / COUNTIF($J$2:$J$269,"&gt;0")) + 1)</f>
        <v>Q4</v>
      </c>
      <c r="U258" t="str">
        <f>IF(K258=0,"","Q"&amp;INT(4*( RANK(K258, IF($K$2:$K$269&lt;&gt;0, $K$2:$K$269), 0) - 1 ) / COUNTIF($K$2:$K$269,"&gt;0")) + 1)</f>
        <v/>
      </c>
    </row>
    <row r="259" spans="1:21" x14ac:dyDescent="0.2">
      <c r="A259" t="s">
        <v>344</v>
      </c>
      <c r="B259" s="2">
        <v>0</v>
      </c>
      <c r="C259" s="2">
        <v>0</v>
      </c>
      <c r="D259" s="2">
        <v>0</v>
      </c>
      <c r="E259" s="2">
        <v>2.5210084033613401E-2</v>
      </c>
      <c r="F259" s="2">
        <v>0.115384615384615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t="str">
        <f>IF(B259=0,"","Q"&amp;INT(4*( RANK(B259, IF($B$2:$B$269&lt;&gt;0, $B$2:$B$269), 0) - 1 ) / COUNTIF($B$2:$B$269,"&gt;0")) + 1)</f>
        <v/>
      </c>
      <c r="M259" t="str">
        <f>IF(C259=0,"","Q"&amp;INT(4*( RANK(C259, IF($C$2:$C$269&lt;&gt;0, $C$2:$C$269), 0) - 1 ) / COUNTIF($C$2:$C$269,"&gt;0")) + 1)</f>
        <v/>
      </c>
      <c r="N259" t="str">
        <f>IF(D259=0,"","Q"&amp;INT(4*( RANK(D259, IF($D$2:$D$269&lt;&gt;0, $D$2:$D$269), 0) - 1 ) / COUNTIF($D$2:$D$269,"&gt;0")) + 1)</f>
        <v/>
      </c>
      <c r="O259" t="str">
        <f>IF(E259=0,"","Q"&amp;INT(4*( RANK(E259, IF($E$2:$E$269&lt;&gt;0, $E$2:$E$269), 0) - 1 ) / COUNTIF($E$2:$E$269,"&gt;0")) + 1)</f>
        <v>Q1</v>
      </c>
      <c r="P259" t="str">
        <f>IF(F259=0,"","Q"&amp;INT(4*( RANK(F259, IF($F$2:$F$269&lt;&gt;0, $F$2:$F$269), 0) - 1 ) / COUNTIF($F$2:$F$269,"&gt;0")) + 1)</f>
        <v>Q2</v>
      </c>
      <c r="Q259" t="str">
        <f>IF(G259=0,"","Q"&amp;INT(4*( RANK(G259, IF($G$2:$G$269&lt;&gt;0, $G$2:$G$269), 0) - 1 ) / COUNTIF($G$2:$G$269,"&gt;0")) + 1)</f>
        <v/>
      </c>
      <c r="R259" t="str">
        <f>IF(H259=0,"","Q"&amp;INT(4*( RANK(H259, IF($H$2:$H$269&lt;&gt;0, $H$2:$H$269), 0) - 1 ) / COUNTIF($H$2:$H$269,"&gt;0")) + 1)</f>
        <v/>
      </c>
      <c r="S259" t="str">
        <f>IF(I259=0,"","Q"&amp;INT(4*( RANK(I259, IF($I$2:$I$269&lt;&gt;0, $I$2:$I$269), 0) - 1 ) / COUNTIF($I$2:$I$269,"&gt;0")) + 1)</f>
        <v/>
      </c>
      <c r="T259" t="str">
        <f>IF(J259=0,"","Q"&amp;INT(4*( RANK(J259, IF($J$2:$J$269&lt;&gt;0, $J$2:$J$269), 0) - 1 ) / COUNTIF($J$2:$J$269,"&gt;0")) + 1)</f>
        <v/>
      </c>
      <c r="U259" t="str">
        <f>IF(K259=0,"","Q"&amp;INT(4*( RANK(K259, IF($K$2:$K$269&lt;&gt;0, $K$2:$K$269), 0) - 1 ) / COUNTIF($K$2:$K$269,"&gt;0")) + 1)</f>
        <v/>
      </c>
    </row>
    <row r="260" spans="1:21" x14ac:dyDescent="0.2">
      <c r="A260" t="s">
        <v>1026</v>
      </c>
      <c r="B260" s="2">
        <v>0</v>
      </c>
      <c r="C260" s="2">
        <v>0</v>
      </c>
      <c r="D260" s="2">
        <v>0</v>
      </c>
      <c r="E260" s="2">
        <v>1.6806722689075598E-2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t="str">
        <f>IF(B260=0,"","Q"&amp;INT(4*( RANK(B260, IF($B$2:$B$269&lt;&gt;0, $B$2:$B$269), 0) - 1 ) / COUNTIF($B$2:$B$269,"&gt;0")) + 1)</f>
        <v/>
      </c>
      <c r="M260" t="str">
        <f>IF(C260=0,"","Q"&amp;INT(4*( RANK(C260, IF($C$2:$C$269&lt;&gt;0, $C$2:$C$269), 0) - 1 ) / COUNTIF($C$2:$C$269,"&gt;0")) + 1)</f>
        <v/>
      </c>
      <c r="N260" t="str">
        <f>IF(D260=0,"","Q"&amp;INT(4*( RANK(D260, IF($D$2:$D$269&lt;&gt;0, $D$2:$D$269), 0) - 1 ) / COUNTIF($D$2:$D$269,"&gt;0")) + 1)</f>
        <v/>
      </c>
      <c r="O260" t="str">
        <f>IF(E260=0,"","Q"&amp;INT(4*( RANK(E260, IF($E$2:$E$269&lt;&gt;0, $E$2:$E$269), 0) - 1 ) / COUNTIF($E$2:$E$269,"&gt;0")) + 1)</f>
        <v>Q2</v>
      </c>
      <c r="P260" t="str">
        <f>IF(F260=0,"","Q"&amp;INT(4*( RANK(F260, IF($F$2:$F$269&lt;&gt;0, $F$2:$F$269), 0) - 1 ) / COUNTIF($F$2:$F$269,"&gt;0")) + 1)</f>
        <v/>
      </c>
      <c r="Q260" t="str">
        <f>IF(G260=0,"","Q"&amp;INT(4*( RANK(G260, IF($G$2:$G$269&lt;&gt;0, $G$2:$G$269), 0) - 1 ) / COUNTIF($G$2:$G$269,"&gt;0")) + 1)</f>
        <v/>
      </c>
      <c r="R260" t="str">
        <f>IF(H260=0,"","Q"&amp;INT(4*( RANK(H260, IF($H$2:$H$269&lt;&gt;0, $H$2:$H$269), 0) - 1 ) / COUNTIF($H$2:$H$269,"&gt;0")) + 1)</f>
        <v/>
      </c>
      <c r="S260" t="str">
        <f>IF(I260=0,"","Q"&amp;INT(4*( RANK(I260, IF($I$2:$I$269&lt;&gt;0, $I$2:$I$269), 0) - 1 ) / COUNTIF($I$2:$I$269,"&gt;0")) + 1)</f>
        <v/>
      </c>
      <c r="T260" t="str">
        <f>IF(J260=0,"","Q"&amp;INT(4*( RANK(J260, IF($J$2:$J$269&lt;&gt;0, $J$2:$J$269), 0) - 1 ) / COUNTIF($J$2:$J$269,"&gt;0")) + 1)</f>
        <v/>
      </c>
      <c r="U260" t="str">
        <f>IF(K260=0,"","Q"&amp;INT(4*( RANK(K260, IF($K$2:$K$269&lt;&gt;0, $K$2:$K$269), 0) - 1 ) / COUNTIF($K$2:$K$269,"&gt;0")) + 1)</f>
        <v/>
      </c>
    </row>
    <row r="261" spans="1:21" x14ac:dyDescent="0.2">
      <c r="A261" t="s">
        <v>1027</v>
      </c>
      <c r="B261" s="2">
        <v>0</v>
      </c>
      <c r="C261" s="2">
        <v>0</v>
      </c>
      <c r="D261" s="2">
        <v>0</v>
      </c>
      <c r="E261" s="2">
        <v>8.4033613445378096E-3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t="str">
        <f>IF(B261=0,"","Q"&amp;INT(4*( RANK(B261, IF($B$2:$B$269&lt;&gt;0, $B$2:$B$269), 0) - 1 ) / COUNTIF($B$2:$B$269,"&gt;0")) + 1)</f>
        <v/>
      </c>
      <c r="M261" t="str">
        <f>IF(C261=0,"","Q"&amp;INT(4*( RANK(C261, IF($C$2:$C$269&lt;&gt;0, $C$2:$C$269), 0) - 1 ) / COUNTIF($C$2:$C$269,"&gt;0")) + 1)</f>
        <v/>
      </c>
      <c r="N261" t="str">
        <f>IF(D261=0,"","Q"&amp;INT(4*( RANK(D261, IF($D$2:$D$269&lt;&gt;0, $D$2:$D$269), 0) - 1 ) / COUNTIF($D$2:$D$269,"&gt;0")) + 1)</f>
        <v/>
      </c>
      <c r="O261" t="str">
        <f>IF(E261=0,"","Q"&amp;INT(4*( RANK(E261, IF($E$2:$E$269&lt;&gt;0, $E$2:$E$269), 0) - 1 ) / COUNTIF($E$2:$E$269,"&gt;0")) + 1)</f>
        <v>Q3</v>
      </c>
      <c r="P261" t="str">
        <f>IF(F261=0,"","Q"&amp;INT(4*( RANK(F261, IF($F$2:$F$269&lt;&gt;0, $F$2:$F$269), 0) - 1 ) / COUNTIF($F$2:$F$269,"&gt;0")) + 1)</f>
        <v/>
      </c>
      <c r="Q261" t="str">
        <f>IF(G261=0,"","Q"&amp;INT(4*( RANK(G261, IF($G$2:$G$269&lt;&gt;0, $G$2:$G$269), 0) - 1 ) / COUNTIF($G$2:$G$269,"&gt;0")) + 1)</f>
        <v/>
      </c>
      <c r="R261" t="str">
        <f>IF(H261=0,"","Q"&amp;INT(4*( RANK(H261, IF($H$2:$H$269&lt;&gt;0, $H$2:$H$269), 0) - 1 ) / COUNTIF($H$2:$H$269,"&gt;0")) + 1)</f>
        <v/>
      </c>
      <c r="S261" t="str">
        <f>IF(I261=0,"","Q"&amp;INT(4*( RANK(I261, IF($I$2:$I$269&lt;&gt;0, $I$2:$I$269), 0) - 1 ) / COUNTIF($I$2:$I$269,"&gt;0")) + 1)</f>
        <v/>
      </c>
      <c r="T261" t="str">
        <f>IF(J261=0,"","Q"&amp;INT(4*( RANK(J261, IF($J$2:$J$269&lt;&gt;0, $J$2:$J$269), 0) - 1 ) / COUNTIF($J$2:$J$269,"&gt;0")) + 1)</f>
        <v/>
      </c>
      <c r="U261" t="str">
        <f>IF(K261=0,"","Q"&amp;INT(4*( RANK(K261, IF($K$2:$K$269&lt;&gt;0, $K$2:$K$269), 0) - 1 ) / COUNTIF($K$2:$K$269,"&gt;0")) + 1)</f>
        <v/>
      </c>
    </row>
    <row r="262" spans="1:21" x14ac:dyDescent="0.2">
      <c r="A262" s="8" t="s">
        <v>349</v>
      </c>
      <c r="B262" s="2">
        <v>1.2</v>
      </c>
      <c r="C262" s="2">
        <v>0.3</v>
      </c>
      <c r="D262" s="2">
        <v>0</v>
      </c>
      <c r="E262" s="2">
        <v>0.28599999999999998</v>
      </c>
      <c r="F262" s="2">
        <v>0.15384615384615299</v>
      </c>
      <c r="G262" s="2">
        <v>0</v>
      </c>
      <c r="H262" s="2">
        <v>0.88888888888888795</v>
      </c>
      <c r="I262" s="2">
        <v>0</v>
      </c>
      <c r="J262" s="2">
        <v>0.186</v>
      </c>
      <c r="K262" s="2">
        <v>0</v>
      </c>
      <c r="L262" t="str">
        <f>IF(B262=0,"","Q"&amp;INT(4*( RANK(B262, IF($B$2:$B$269&lt;&gt;0, $B$2:$B$269), 0) - 1 ) / COUNTIF($B$2:$B$269,"&gt;0")) + 1)</f>
        <v>Q1</v>
      </c>
      <c r="M262" t="str">
        <f>IF(C262=0,"","Q"&amp;INT(4*( RANK(C262, IF($C$2:$C$269&lt;&gt;0, $C$2:$C$269), 0) - 1 ) / COUNTIF($C$2:$C$269,"&gt;0")) + 1)</f>
        <v>Q2</v>
      </c>
      <c r="N262" t="str">
        <f>IF(D262=0,"","Q"&amp;INT(4*( RANK(D262, IF($D$2:$D$269&lt;&gt;0, $D$2:$D$269), 0) - 1 ) / COUNTIF($D$2:$D$269,"&gt;0")) + 1)</f>
        <v/>
      </c>
      <c r="O262" t="str">
        <f>IF(E262=0,"","Q"&amp;INT(4*( RANK(E262, IF($E$2:$E$269&lt;&gt;0, $E$2:$E$269), 0) - 1 ) / COUNTIF($E$2:$E$269,"&gt;0")) + 1)</f>
        <v>Q1</v>
      </c>
      <c r="P262" t="str">
        <f>IF(F262=0,"","Q"&amp;INT(4*( RANK(F262, IF($F$2:$F$269&lt;&gt;0, $F$2:$F$269), 0) - 1 ) / COUNTIF($F$2:$F$269,"&gt;0")) + 1)</f>
        <v>Q1</v>
      </c>
      <c r="Q262" t="str">
        <f>IF(G262=0,"","Q"&amp;INT(4*( RANK(G262, IF($G$2:$G$269&lt;&gt;0, $G$2:$G$269), 0) - 1 ) / COUNTIF($G$2:$G$269,"&gt;0")) + 1)</f>
        <v/>
      </c>
      <c r="R262" t="str">
        <f>IF(H262=0,"","Q"&amp;INT(4*( RANK(H262, IF($H$2:$H$269&lt;&gt;0, $H$2:$H$269), 0) - 1 ) / COUNTIF($H$2:$H$269,"&gt;0")) + 1)</f>
        <v>Q1</v>
      </c>
      <c r="S262" t="str">
        <f>IF(I262=0,"","Q"&amp;INT(4*( RANK(I262, IF($I$2:$I$269&lt;&gt;0, $I$2:$I$269), 0) - 1 ) / COUNTIF($I$2:$I$269,"&gt;0")) + 1)</f>
        <v/>
      </c>
      <c r="T262" t="str">
        <f>IF(J262=0,"","Q"&amp;INT(4*( RANK(J262, IF($J$2:$J$269&lt;&gt;0, $J$2:$J$269), 0) - 1 ) / COUNTIF($J$2:$J$269,"&gt;0")) + 1)</f>
        <v>Q2</v>
      </c>
      <c r="U262" t="str">
        <f>IF(K262=0,"","Q"&amp;INT(4*( RANK(K262, IF($K$2:$K$269&lt;&gt;0, $K$2:$K$269), 0) - 1 ) / COUNTIF($K$2:$K$269,"&gt;0")) + 1)</f>
        <v/>
      </c>
    </row>
    <row r="263" spans="1:21" x14ac:dyDescent="0.2">
      <c r="A263" t="s">
        <v>1088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0.22222222222222199</v>
      </c>
      <c r="I263" s="2">
        <v>0</v>
      </c>
      <c r="J263" s="2">
        <v>0</v>
      </c>
      <c r="K263" s="2">
        <v>0</v>
      </c>
      <c r="L263" t="str">
        <f>IF(B263=0,"","Q"&amp;INT(4*( RANK(B263, IF($B$2:$B$269&lt;&gt;0, $B$2:$B$269), 0) - 1 ) / COUNTIF($B$2:$B$269,"&gt;0")) + 1)</f>
        <v/>
      </c>
      <c r="M263" t="str">
        <f>IF(C263=0,"","Q"&amp;INT(4*( RANK(C263, IF($C$2:$C$269&lt;&gt;0, $C$2:$C$269), 0) - 1 ) / COUNTIF($C$2:$C$269,"&gt;0")) + 1)</f>
        <v/>
      </c>
      <c r="N263" t="str">
        <f>IF(D263=0,"","Q"&amp;INT(4*( RANK(D263, IF($D$2:$D$269&lt;&gt;0, $D$2:$D$269), 0) - 1 ) / COUNTIF($D$2:$D$269,"&gt;0")) + 1)</f>
        <v/>
      </c>
      <c r="O263" t="str">
        <f>IF(E263=0,"","Q"&amp;INT(4*( RANK(E263, IF($E$2:$E$269&lt;&gt;0, $E$2:$E$269), 0) - 1 ) / COUNTIF($E$2:$E$269,"&gt;0")) + 1)</f>
        <v/>
      </c>
      <c r="P263" t="str">
        <f>IF(F263=0,"","Q"&amp;INT(4*( RANK(F263, IF($F$2:$F$269&lt;&gt;0, $F$2:$F$269), 0) - 1 ) / COUNTIF($F$2:$F$269,"&gt;0")) + 1)</f>
        <v/>
      </c>
      <c r="Q263" t="str">
        <f>IF(G263=0,"","Q"&amp;INT(4*( RANK(G263, IF($G$2:$G$269&lt;&gt;0, $G$2:$G$269), 0) - 1 ) / COUNTIF($G$2:$G$269,"&gt;0")) + 1)</f>
        <v/>
      </c>
      <c r="R263" t="str">
        <f>IF(H263=0,"","Q"&amp;INT(4*( RANK(H263, IF($H$2:$H$269&lt;&gt;0, $H$2:$H$269), 0) - 1 ) / COUNTIF($H$2:$H$269,"&gt;0")) + 1)</f>
        <v>Q3</v>
      </c>
      <c r="S263" t="str">
        <f>IF(I263=0,"","Q"&amp;INT(4*( RANK(I263, IF($I$2:$I$269&lt;&gt;0, $I$2:$I$269), 0) - 1 ) / COUNTIF($I$2:$I$269,"&gt;0")) + 1)</f>
        <v/>
      </c>
      <c r="T263" t="str">
        <f>IF(J263=0,"","Q"&amp;INT(4*( RANK(J263, IF($J$2:$J$269&lt;&gt;0, $J$2:$J$269), 0) - 1 ) / COUNTIF($J$2:$J$269,"&gt;0")) + 1)</f>
        <v/>
      </c>
      <c r="U263" t="str">
        <f>IF(K263=0,"","Q"&amp;INT(4*( RANK(K263, IF($K$2:$K$269&lt;&gt;0, $K$2:$K$269), 0) - 1 ) / COUNTIF($K$2:$K$269,"&gt;0")) + 1)</f>
        <v/>
      </c>
    </row>
    <row r="264" spans="1:21" x14ac:dyDescent="0.2">
      <c r="A264" t="s">
        <v>1028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</v>
      </c>
      <c r="I264" s="2">
        <v>0</v>
      </c>
      <c r="J264" s="2">
        <v>6.9767441860465101E-2</v>
      </c>
      <c r="K264" s="2">
        <v>0</v>
      </c>
      <c r="L264" t="str">
        <f>IF(B264=0,"","Q"&amp;INT(4*( RANK(B264, IF($B$2:$B$269&lt;&gt;0, $B$2:$B$269), 0) - 1 ) / COUNTIF($B$2:$B$269,"&gt;0")) + 1)</f>
        <v/>
      </c>
      <c r="M264" t="str">
        <f>IF(C264=0,"","Q"&amp;INT(4*( RANK(C264, IF($C$2:$C$269&lt;&gt;0, $C$2:$C$269), 0) - 1 ) / COUNTIF($C$2:$C$269,"&gt;0")) + 1)</f>
        <v/>
      </c>
      <c r="N264" t="str">
        <f>IF(D264=0,"","Q"&amp;INT(4*( RANK(D264, IF($D$2:$D$269&lt;&gt;0, $D$2:$D$269), 0) - 1 ) / COUNTIF($D$2:$D$269,"&gt;0")) + 1)</f>
        <v/>
      </c>
      <c r="O264" t="str">
        <f>IF(E264=0,"","Q"&amp;INT(4*( RANK(E264, IF($E$2:$E$269&lt;&gt;0, $E$2:$E$269), 0) - 1 ) / COUNTIF($E$2:$E$269,"&gt;0")) + 1)</f>
        <v/>
      </c>
      <c r="P264" t="str">
        <f>IF(F264=0,"","Q"&amp;INT(4*( RANK(F264, IF($F$2:$F$269&lt;&gt;0, $F$2:$F$269), 0) - 1 ) / COUNTIF($F$2:$F$269,"&gt;0")) + 1)</f>
        <v/>
      </c>
      <c r="Q264" t="str">
        <f>IF(G264=0,"","Q"&amp;INT(4*( RANK(G264, IF($G$2:$G$269&lt;&gt;0, $G$2:$G$269), 0) - 1 ) / COUNTIF($G$2:$G$269,"&gt;0")) + 1)</f>
        <v/>
      </c>
      <c r="R264" t="str">
        <f>IF(H264=0,"","Q"&amp;INT(4*( RANK(H264, IF($H$2:$H$269&lt;&gt;0, $H$2:$H$269), 0) - 1 ) / COUNTIF($H$2:$H$269,"&gt;0")) + 1)</f>
        <v>Q1</v>
      </c>
      <c r="S264" t="str">
        <f>IF(I264=0,"","Q"&amp;INT(4*( RANK(I264, IF($I$2:$I$269&lt;&gt;0, $I$2:$I$269), 0) - 1 ) / COUNTIF($I$2:$I$269,"&gt;0")) + 1)</f>
        <v/>
      </c>
      <c r="T264" t="str">
        <f>IF(J264=0,"","Q"&amp;INT(4*( RANK(J264, IF($J$2:$J$269&lt;&gt;0, $J$2:$J$269), 0) - 1 ) / COUNTIF($J$2:$J$269,"&gt;0")) + 1)</f>
        <v>Q3</v>
      </c>
      <c r="U264" t="str">
        <f>IF(K264=0,"","Q"&amp;INT(4*( RANK(K264, IF($K$2:$K$269&lt;&gt;0, $K$2:$K$269), 0) - 1 ) / COUNTIF($K$2:$K$269,"&gt;0")) + 1)</f>
        <v/>
      </c>
    </row>
    <row r="265" spans="1:21" x14ac:dyDescent="0.2">
      <c r="A265" t="s">
        <v>351</v>
      </c>
      <c r="B265" s="2">
        <v>0</v>
      </c>
      <c r="C265" s="2">
        <v>0</v>
      </c>
      <c r="D265" s="2">
        <v>0</v>
      </c>
      <c r="E265" s="2">
        <v>4.2016806722688996E-3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t="str">
        <f>IF(B265=0,"","Q"&amp;INT(4*( RANK(B265, IF($B$2:$B$269&lt;&gt;0, $B$2:$B$269), 0) - 1 ) / COUNTIF($B$2:$B$269,"&gt;0")) + 1)</f>
        <v/>
      </c>
      <c r="M265" t="str">
        <f>IF(C265=0,"","Q"&amp;INT(4*( RANK(C265, IF($C$2:$C$269&lt;&gt;0, $C$2:$C$269), 0) - 1 ) / COUNTIF($C$2:$C$269,"&gt;0")) + 1)</f>
        <v/>
      </c>
      <c r="N265" t="str">
        <f>IF(D265=0,"","Q"&amp;INT(4*( RANK(D265, IF($D$2:$D$269&lt;&gt;0, $D$2:$D$269), 0) - 1 ) / COUNTIF($D$2:$D$269,"&gt;0")) + 1)</f>
        <v/>
      </c>
      <c r="O265" t="str">
        <f>IF(E265=0,"","Q"&amp;INT(4*( RANK(E265, IF($E$2:$E$269&lt;&gt;0, $E$2:$E$269), 0) - 1 ) / COUNTIF($E$2:$E$269,"&gt;0")) + 1)</f>
        <v>Q4</v>
      </c>
      <c r="P265" t="str">
        <f>IF(F265=0,"","Q"&amp;INT(4*( RANK(F265, IF($F$2:$F$269&lt;&gt;0, $F$2:$F$269), 0) - 1 ) / COUNTIF($F$2:$F$269,"&gt;0")) + 1)</f>
        <v/>
      </c>
      <c r="Q265" t="str">
        <f>IF(G265=0,"","Q"&amp;INT(4*( RANK(G265, IF($G$2:$G$269&lt;&gt;0, $G$2:$G$269), 0) - 1 ) / COUNTIF($G$2:$G$269,"&gt;0")) + 1)</f>
        <v/>
      </c>
      <c r="R265" t="str">
        <f>IF(H265=0,"","Q"&amp;INT(4*( RANK(H265, IF($H$2:$H$269&lt;&gt;0, $H$2:$H$269), 0) - 1 ) / COUNTIF($H$2:$H$269,"&gt;0")) + 1)</f>
        <v/>
      </c>
      <c r="S265" t="str">
        <f>IF(I265=0,"","Q"&amp;INT(4*( RANK(I265, IF($I$2:$I$269&lt;&gt;0, $I$2:$I$269), 0) - 1 ) / COUNTIF($I$2:$I$269,"&gt;0")) + 1)</f>
        <v/>
      </c>
      <c r="T265" t="str">
        <f>IF(J265=0,"","Q"&amp;INT(4*( RANK(J265, IF($J$2:$J$269&lt;&gt;0, $J$2:$J$269), 0) - 1 ) / COUNTIF($J$2:$J$269,"&gt;0")) + 1)</f>
        <v/>
      </c>
      <c r="U265" t="str">
        <f>IF(K265=0,"","Q"&amp;INT(4*( RANK(K265, IF($K$2:$K$269&lt;&gt;0, $K$2:$K$269), 0) - 1 ) / COUNTIF($K$2:$K$269,"&gt;0")) + 1)</f>
        <v/>
      </c>
    </row>
    <row r="266" spans="1:21" x14ac:dyDescent="0.2">
      <c r="A266" t="s">
        <v>1029</v>
      </c>
      <c r="B266" s="2">
        <v>0</v>
      </c>
      <c r="C266" s="2">
        <v>0</v>
      </c>
      <c r="D266" s="2">
        <v>0</v>
      </c>
      <c r="E266" s="2">
        <v>2.1008403361344501E-2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t="str">
        <f>IF(B266=0,"","Q"&amp;INT(4*( RANK(B266, IF($B$2:$B$269&lt;&gt;0, $B$2:$B$269), 0) - 1 ) / COUNTIF($B$2:$B$269,"&gt;0")) + 1)</f>
        <v/>
      </c>
      <c r="M266" t="str">
        <f>IF(C266=0,"","Q"&amp;INT(4*( RANK(C266, IF($C$2:$C$269&lt;&gt;0, $C$2:$C$269), 0) - 1 ) / COUNTIF($C$2:$C$269,"&gt;0")) + 1)</f>
        <v/>
      </c>
      <c r="N266" t="str">
        <f>IF(D266=0,"","Q"&amp;INT(4*( RANK(D266, IF($D$2:$D$269&lt;&gt;0, $D$2:$D$269), 0) - 1 ) / COUNTIF($D$2:$D$269,"&gt;0")) + 1)</f>
        <v/>
      </c>
      <c r="O266" t="str">
        <f>IF(E266=0,"","Q"&amp;INT(4*( RANK(E266, IF($E$2:$E$269&lt;&gt;0, $E$2:$E$269), 0) - 1 ) / COUNTIF($E$2:$E$269,"&gt;0")) + 1)</f>
        <v>Q2</v>
      </c>
      <c r="P266" t="str">
        <f>IF(F266=0,"","Q"&amp;INT(4*( RANK(F266, IF($F$2:$F$269&lt;&gt;0, $F$2:$F$269), 0) - 1 ) / COUNTIF($F$2:$F$269,"&gt;0")) + 1)</f>
        <v/>
      </c>
      <c r="Q266" t="str">
        <f>IF(G266=0,"","Q"&amp;INT(4*( RANK(G266, IF($G$2:$G$269&lt;&gt;0, $G$2:$G$269), 0) - 1 ) / COUNTIF($G$2:$G$269,"&gt;0")) + 1)</f>
        <v/>
      </c>
      <c r="R266" t="str">
        <f>IF(H266=0,"","Q"&amp;INT(4*( RANK(H266, IF($H$2:$H$269&lt;&gt;0, $H$2:$H$269), 0) - 1 ) / COUNTIF($H$2:$H$269,"&gt;0")) + 1)</f>
        <v/>
      </c>
      <c r="S266" t="str">
        <f>IF(I266=0,"","Q"&amp;INT(4*( RANK(I266, IF($I$2:$I$269&lt;&gt;0, $I$2:$I$269), 0) - 1 ) / COUNTIF($I$2:$I$269,"&gt;0")) + 1)</f>
        <v/>
      </c>
      <c r="T266" t="str">
        <f>IF(J266=0,"","Q"&amp;INT(4*( RANK(J266, IF($J$2:$J$269&lt;&gt;0, $J$2:$J$269), 0) - 1 ) / COUNTIF($J$2:$J$269,"&gt;0")) + 1)</f>
        <v/>
      </c>
      <c r="U266" t="str">
        <f>IF(K266=0,"","Q"&amp;INT(4*( RANK(K266, IF($K$2:$K$269&lt;&gt;0, $K$2:$K$269), 0) - 1 ) / COUNTIF($K$2:$K$269,"&gt;0")) + 1)</f>
        <v/>
      </c>
    </row>
    <row r="267" spans="1:21" x14ac:dyDescent="0.2">
      <c r="A267" s="8" t="s">
        <v>354</v>
      </c>
      <c r="B267" s="2">
        <v>0</v>
      </c>
      <c r="C267" s="2">
        <v>0</v>
      </c>
      <c r="D267" s="2">
        <v>0</v>
      </c>
      <c r="E267" s="2">
        <v>8.0000000000000002E-3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t="str">
        <f>IF(B267=0,"","Q"&amp;INT(4*( RANK(B267, IF($B$2:$B$269&lt;&gt;0, $B$2:$B$269), 0) - 1 ) / COUNTIF($B$2:$B$269,"&gt;0")) + 1)</f>
        <v/>
      </c>
      <c r="M267" t="str">
        <f>IF(C267=0,"","Q"&amp;INT(4*( RANK(C267, IF($C$2:$C$269&lt;&gt;0, $C$2:$C$269), 0) - 1 ) / COUNTIF($C$2:$C$269,"&gt;0")) + 1)</f>
        <v/>
      </c>
      <c r="N267" t="str">
        <f>IF(D267=0,"","Q"&amp;INT(4*( RANK(D267, IF($D$2:$D$269&lt;&gt;0, $D$2:$D$269), 0) - 1 ) / COUNTIF($D$2:$D$269,"&gt;0")) + 1)</f>
        <v/>
      </c>
      <c r="O267" t="str">
        <f>IF(E267=0,"","Q"&amp;INT(4*( RANK(E267, IF($E$2:$E$269&lt;&gt;0, $E$2:$E$269), 0) - 1 ) / COUNTIF($E$2:$E$269,"&gt;0")) + 1)</f>
        <v>Q4</v>
      </c>
      <c r="P267" t="str">
        <f>IF(F267=0,"","Q"&amp;INT(4*( RANK(F267, IF($F$2:$F$269&lt;&gt;0, $F$2:$F$269), 0) - 1 ) / COUNTIF($F$2:$F$269,"&gt;0")) + 1)</f>
        <v/>
      </c>
      <c r="Q267" t="str">
        <f>IF(G267=0,"","Q"&amp;INT(4*( RANK(G267, IF($G$2:$G$269&lt;&gt;0, $G$2:$G$269), 0) - 1 ) / COUNTIF($G$2:$G$269,"&gt;0")) + 1)</f>
        <v/>
      </c>
      <c r="R267" t="str">
        <f>IF(H267=0,"","Q"&amp;INT(4*( RANK(H267, IF($H$2:$H$269&lt;&gt;0, $H$2:$H$269), 0) - 1 ) / COUNTIF($H$2:$H$269,"&gt;0")) + 1)</f>
        <v/>
      </c>
      <c r="S267" t="str">
        <f>IF(I267=0,"","Q"&amp;INT(4*( RANK(I267, IF($I$2:$I$269&lt;&gt;0, $I$2:$I$269), 0) - 1 ) / COUNTIF($I$2:$I$269,"&gt;0")) + 1)</f>
        <v/>
      </c>
      <c r="T267" t="str">
        <f>IF(J267=0,"","Q"&amp;INT(4*( RANK(J267, IF($J$2:$J$269&lt;&gt;0, $J$2:$J$269), 0) - 1 ) / COUNTIF($J$2:$J$269,"&gt;0")) + 1)</f>
        <v/>
      </c>
      <c r="U267" t="str">
        <f>IF(K267=0,"","Q"&amp;INT(4*( RANK(K267, IF($K$2:$K$269&lt;&gt;0, $K$2:$K$269), 0) - 1 ) / COUNTIF($K$2:$K$269,"&gt;0")) + 1)</f>
        <v/>
      </c>
    </row>
    <row r="268" spans="1:21" x14ac:dyDescent="0.2">
      <c r="A268" t="s">
        <v>355</v>
      </c>
      <c r="B268" s="2">
        <v>0</v>
      </c>
      <c r="C268" s="2">
        <v>0</v>
      </c>
      <c r="D268" s="2">
        <v>0</v>
      </c>
      <c r="E268" s="2">
        <v>2.1008403361344501E-2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t="str">
        <f>IF(B268=0,"","Q"&amp;INT(4*( RANK(B268, IF($B$2:$B$269&lt;&gt;0, $B$2:$B$269), 0) - 1 ) / COUNTIF($B$2:$B$269,"&gt;0")) + 1)</f>
        <v/>
      </c>
      <c r="M268" t="str">
        <f>IF(C268=0,"","Q"&amp;INT(4*( RANK(C268, IF($C$2:$C$269&lt;&gt;0, $C$2:$C$269), 0) - 1 ) / COUNTIF($C$2:$C$269,"&gt;0")) + 1)</f>
        <v/>
      </c>
      <c r="N268" t="str">
        <f>IF(D268=0,"","Q"&amp;INT(4*( RANK(D268, IF($D$2:$D$269&lt;&gt;0, $D$2:$D$269), 0) - 1 ) / COUNTIF($D$2:$D$269,"&gt;0")) + 1)</f>
        <v/>
      </c>
      <c r="O268" t="str">
        <f>IF(E268=0,"","Q"&amp;INT(4*( RANK(E268, IF($E$2:$E$269&lt;&gt;0, $E$2:$E$269), 0) - 1 ) / COUNTIF($E$2:$E$269,"&gt;0")) + 1)</f>
        <v>Q2</v>
      </c>
      <c r="P268" t="str">
        <f>IF(F268=0,"","Q"&amp;INT(4*( RANK(F268, IF($F$2:$F$269&lt;&gt;0, $F$2:$F$269), 0) - 1 ) / COUNTIF($F$2:$F$269,"&gt;0")) + 1)</f>
        <v/>
      </c>
      <c r="Q268" t="str">
        <f>IF(G268=0,"","Q"&amp;INT(4*( RANK(G268, IF($G$2:$G$269&lt;&gt;0, $G$2:$G$269), 0) - 1 ) / COUNTIF($G$2:$G$269,"&gt;0")) + 1)</f>
        <v/>
      </c>
      <c r="R268" t="str">
        <f>IF(H268=0,"","Q"&amp;INT(4*( RANK(H268, IF($H$2:$H$269&lt;&gt;0, $H$2:$H$269), 0) - 1 ) / COUNTIF($H$2:$H$269,"&gt;0")) + 1)</f>
        <v/>
      </c>
      <c r="S268" t="str">
        <f>IF(I268=0,"","Q"&amp;INT(4*( RANK(I268, IF($I$2:$I$269&lt;&gt;0, $I$2:$I$269), 0) - 1 ) / COUNTIF($I$2:$I$269,"&gt;0")) + 1)</f>
        <v/>
      </c>
      <c r="T268" t="str">
        <f>IF(J268=0,"","Q"&amp;INT(4*( RANK(J268, IF($J$2:$J$269&lt;&gt;0, $J$2:$J$269), 0) - 1 ) / COUNTIF($J$2:$J$269,"&gt;0")) + 1)</f>
        <v/>
      </c>
      <c r="U268" t="str">
        <f>IF(K268=0,"","Q"&amp;INT(4*( RANK(K268, IF($K$2:$K$269&lt;&gt;0, $K$2:$K$269), 0) - 1 ) / COUNTIF($K$2:$K$269,"&gt;0")) + 1)</f>
        <v/>
      </c>
    </row>
    <row r="269" spans="1:21" x14ac:dyDescent="0.2">
      <c r="A269" t="s">
        <v>1089</v>
      </c>
      <c r="B269" s="2">
        <v>0</v>
      </c>
      <c r="C269" s="2">
        <v>0</v>
      </c>
      <c r="D269" s="2">
        <v>0</v>
      </c>
      <c r="E269" s="2">
        <v>8.4033613445378096E-3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t="str">
        <f>IF(B269=0,"","Q"&amp;INT(4*( RANK(B269, IF($B$2:$B$269&lt;&gt;0, $B$2:$B$269), 0) - 1 ) / COUNTIF($B$2:$B$269,"&gt;0")) + 1)</f>
        <v/>
      </c>
      <c r="M269" t="str">
        <f>IF(C269=0,"","Q"&amp;INT(4*( RANK(C269, IF($C$2:$C$269&lt;&gt;0, $C$2:$C$269), 0) - 1 ) / COUNTIF($C$2:$C$269,"&gt;0")) + 1)</f>
        <v/>
      </c>
      <c r="N269" t="str">
        <f>IF(D269=0,"","Q"&amp;INT(4*( RANK(D269, IF($D$2:$D$269&lt;&gt;0, $D$2:$D$269), 0) - 1 ) / COUNTIF($D$2:$D$269,"&gt;0")) + 1)</f>
        <v/>
      </c>
      <c r="O269" t="str">
        <f>IF(E269=0,"","Q"&amp;INT(4*( RANK(E269, IF($E$2:$E$269&lt;&gt;0, $E$2:$E$269), 0) - 1 ) / COUNTIF($E$2:$E$269,"&gt;0")) + 1)</f>
        <v>Q3</v>
      </c>
      <c r="P269" t="str">
        <f>IF(F269=0,"","Q"&amp;INT(4*( RANK(F269, IF($F$2:$F$269&lt;&gt;0, $F$2:$F$269), 0) - 1 ) / COUNTIF($F$2:$F$269,"&gt;0")) + 1)</f>
        <v/>
      </c>
      <c r="Q269" t="str">
        <f>IF(G269=0,"","Q"&amp;INT(4*( RANK(G269, IF($G$2:$G$269&lt;&gt;0, $G$2:$G$269), 0) - 1 ) / COUNTIF($G$2:$G$269,"&gt;0")) + 1)</f>
        <v/>
      </c>
      <c r="R269" t="str">
        <f>IF(H269=0,"","Q"&amp;INT(4*( RANK(H269, IF($H$2:$H$269&lt;&gt;0, $H$2:$H$269), 0) - 1 ) / COUNTIF($H$2:$H$269,"&gt;0")) + 1)</f>
        <v/>
      </c>
      <c r="S269" t="str">
        <f>IF(I269=0,"","Q"&amp;INT(4*( RANK(I269, IF($I$2:$I$269&lt;&gt;0, $I$2:$I$269), 0) - 1 ) / COUNTIF($I$2:$I$269,"&gt;0")) + 1)</f>
        <v/>
      </c>
      <c r="T269" t="str">
        <f>IF(J269=0,"","Q"&amp;INT(4*( RANK(J269, IF($J$2:$J$269&lt;&gt;0, $J$2:$J$269), 0) - 1 ) / COUNTIF($J$2:$J$269,"&gt;0")) + 1)</f>
        <v/>
      </c>
      <c r="U269" t="str">
        <f>IF(K269=0,"","Q"&amp;INT(4*( RANK(K269, IF($K$2:$K$269&lt;&gt;0, $K$2:$K$269), 0) - 1 ) / COUNTIF($K$2:$K$269,"&gt;0")) + 1)</f>
        <v/>
      </c>
    </row>
    <row r="270" spans="1:21" x14ac:dyDescent="0.2">
      <c r="A270" s="4" t="s">
        <v>914</v>
      </c>
      <c r="B270" s="5">
        <f>AVERAGE(B2:B269)</f>
        <v>2.9850746268656712E-2</v>
      </c>
      <c r="C270" s="5">
        <f>AVERAGE(C2:C269)</f>
        <v>2.8731343283582091E-2</v>
      </c>
      <c r="D270" s="5">
        <f>AVERAGE(D2:D269)</f>
        <v>1.9012082444918234E-2</v>
      </c>
      <c r="E270" s="5">
        <f>AVERAGE(E2:E269)</f>
        <v>2.2433745139846934E-2</v>
      </c>
      <c r="F270" s="5">
        <f>AVERAGE(F2:F269)</f>
        <v>2.0955223880596979E-2</v>
      </c>
      <c r="G270" s="5">
        <f>AVERAGE(G2:G269)</f>
        <v>1.1194029850746268E-2</v>
      </c>
      <c r="H270" s="5">
        <f>AVERAGE(H2:H269)</f>
        <v>3.1509121061359849E-2</v>
      </c>
      <c r="I270" s="5">
        <f>AVERAGE(I2:I269)</f>
        <v>3.7313432835820895E-3</v>
      </c>
      <c r="J270" s="5">
        <f>AVERAGE(J2:J269)</f>
        <v>2.1185612634501895E-2</v>
      </c>
      <c r="K270" s="5">
        <f>AVERAGE(K2:K269)</f>
        <v>1.5144863915715512E-2</v>
      </c>
    </row>
    <row r="271" spans="1:21" x14ac:dyDescent="0.2">
      <c r="A271" s="4" t="s">
        <v>915</v>
      </c>
      <c r="B271" s="5">
        <f>STDEV(B2:B269)</f>
        <v>0.15676020034251684</v>
      </c>
      <c r="C271" s="5">
        <f>STDEV(C2:C269)</f>
        <v>0.11849190709760322</v>
      </c>
      <c r="D271" s="5">
        <f>STDEV(D2:D269)</f>
        <v>8.244152482446393E-2</v>
      </c>
      <c r="E271" s="5">
        <f>STDEV(E2:E269)</f>
        <v>6.2123346922561516E-2</v>
      </c>
      <c r="F271" s="5">
        <f>STDEV(F2:F269)</f>
        <v>6.7769298493308497E-2</v>
      </c>
      <c r="G271" s="5">
        <f>STDEV(G2:G269)</f>
        <v>0.10540483594161729</v>
      </c>
      <c r="H271" s="5">
        <f>STDEV(H2:H269)</f>
        <v>0.13976176170327417</v>
      </c>
      <c r="I271" s="5">
        <f>STDEV(I2:I269)</f>
        <v>6.1084722178152612E-2</v>
      </c>
      <c r="J271" s="5">
        <f>STDEV(J2:J269)</f>
        <v>7.7568315591156456E-2</v>
      </c>
      <c r="K271" s="5">
        <f>STDEV(K2:K269)</f>
        <v>9.6947105661008989E-2</v>
      </c>
    </row>
    <row r="272" spans="1:21" x14ac:dyDescent="0.2">
      <c r="A272" s="7" t="s">
        <v>914</v>
      </c>
      <c r="B272" s="6">
        <f>AVERAGEIF(B2:B269, "&lt;&gt;0")</f>
        <v>0.72727272727272718</v>
      </c>
      <c r="C272" s="6">
        <f t="shared" ref="C272:K272" si="0">AVERAGEIF(C2:C269, "&lt;&gt;0")</f>
        <v>0.40526315789473683</v>
      </c>
      <c r="D272" s="6">
        <f t="shared" si="0"/>
        <v>0.22153209109730812</v>
      </c>
      <c r="E272" s="6">
        <f t="shared" si="0"/>
        <v>2.876671625588028E-2</v>
      </c>
      <c r="F272" s="6">
        <f t="shared" si="0"/>
        <v>0.13697560975609735</v>
      </c>
      <c r="G272" s="6">
        <f t="shared" si="0"/>
        <v>1</v>
      </c>
      <c r="H272" s="6">
        <f t="shared" si="0"/>
        <v>0.42222222222222194</v>
      </c>
      <c r="I272" s="6">
        <f t="shared" si="0"/>
        <v>1</v>
      </c>
      <c r="J272" s="6">
        <f t="shared" si="0"/>
        <v>0.16222126245847165</v>
      </c>
      <c r="K272" s="6">
        <f t="shared" si="0"/>
        <v>0.31221719457013519</v>
      </c>
    </row>
    <row r="273" spans="1:21" x14ac:dyDescent="0.2">
      <c r="A273" s="7" t="s">
        <v>915</v>
      </c>
      <c r="B273" s="6" cm="1">
        <f t="array" ref="B273">_xlfn.STDEV.P(IF(B2:B269&lt;&gt;0, B2:B269))</f>
        <v>0.29875775863918186</v>
      </c>
      <c r="C273" s="6" cm="1">
        <f t="array" ref="C273">_xlfn.STDEV.P(IF(C2:C269&lt;&gt;0, C2:C269))</f>
        <v>0.21144536238527009</v>
      </c>
      <c r="D273" s="6" cm="1">
        <f t="array" ref="D273">_xlfn.STDEV.P(IF(D2:D269&lt;&gt;0, D2:D269))</f>
        <v>0.18448587503060423</v>
      </c>
      <c r="E273" s="6" cm="1">
        <f t="array" ref="E273">_xlfn.STDEV.P(IF(E2:E269&lt;&gt;0, E2:E269))</f>
        <v>6.890672103159623E-2</v>
      </c>
      <c r="F273" s="6" cm="1">
        <f t="array" ref="F273">_xlfn.STDEV.P(IF(F2:F269&lt;&gt;0, F2:F269))</f>
        <v>0.11839109335347239</v>
      </c>
      <c r="G273" s="6" cm="1">
        <f t="array" ref="G273">_xlfn.STDEV.P(IF(G2:G269&lt;&gt;0, G2:G269))</f>
        <v>0</v>
      </c>
      <c r="H273" s="6" cm="1">
        <f t="array" ref="H273">_xlfn.STDEV.P(IF(H2:H269&lt;&gt;0, H2:H269))</f>
        <v>0.30951973949298012</v>
      </c>
      <c r="I273" s="6" cm="1">
        <f t="array" ref="I273">_xlfn.STDEV.P(IF(I2:I269&lt;&gt;0, I2:I269))</f>
        <v>0</v>
      </c>
      <c r="J273" s="6" cm="1">
        <f t="array" ref="J273">_xlfn.STDEV.P(IF(J2:J269&lt;&gt;0, J2:J269))</f>
        <v>0.15172652993565319</v>
      </c>
      <c r="K273" s="6" cm="1">
        <f t="array" ref="K273">_xlfn.STDEV.P(IF(K2:K269&lt;&gt;0, K2:K269))</f>
        <v>0.31667743360945955</v>
      </c>
    </row>
    <row r="274" spans="1:21" s="2" customFormat="1" x14ac:dyDescent="0.2">
      <c r="A274" s="4" t="s">
        <v>1030</v>
      </c>
      <c r="L274"/>
      <c r="M274"/>
      <c r="N274"/>
      <c r="O274"/>
      <c r="P274"/>
      <c r="Q274"/>
      <c r="R274"/>
      <c r="S274"/>
      <c r="T274"/>
      <c r="U2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alldatabyauthor</vt:lpstr>
      <vt:lpstr>clusterdistbyauthor</vt:lpstr>
      <vt:lpstr>framedistbycluster</vt:lpstr>
      <vt:lpstr>framedistbycluster (2)</vt:lpstr>
      <vt:lpstr>alldatabyauthor!author_profiles</vt:lpstr>
      <vt:lpstr>clusterdistbyauthor!author_summary_with_doc_clusters</vt:lpstr>
      <vt:lpstr>framedistbycluster!cluster_thematic_profiles_ALL_FRAMES</vt:lpstr>
      <vt:lpstr>'framedistbycluster (2)'!cluster_thematic_profiles_ALL_FRAMES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Gangemi</dc:creator>
  <cp:lastModifiedBy>Aldo Gangemi</cp:lastModifiedBy>
  <dcterms:created xsi:type="dcterms:W3CDTF">2025-11-21T11:28:31Z</dcterms:created>
  <dcterms:modified xsi:type="dcterms:W3CDTF">2025-11-22T09:34:45Z</dcterms:modified>
</cp:coreProperties>
</file>